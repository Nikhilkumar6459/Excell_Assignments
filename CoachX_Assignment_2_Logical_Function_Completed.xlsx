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blem Statement" sheetId="1" state="visible" r:id="rId1"/>
    <sheet xmlns:r="http://schemas.openxmlformats.org/officeDocument/2006/relationships" name="Logical" sheetId="2" state="visible" r:id="rId2"/>
  </sheets>
  <definedNames>
    <definedName name="_xlnm._FilterDatabase" localSheetId="1" hidden="1">'Logical'!$A$3:$V$149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10">
    <font>
      <name val="Calibri"/>
      <color theme="1"/>
      <sz val="11"/>
      <scheme val="minor"/>
    </font>
    <font>
      <name val="Open Sans"/>
      <family val="2"/>
      <color theme="1"/>
      <sz val="11"/>
    </font>
    <font>
      <name val="Open Sans"/>
      <family val="2"/>
      <b val="1"/>
      <color rgb="FF000000"/>
      <sz val="11"/>
    </font>
    <font>
      <name val="Open Sans"/>
      <family val="2"/>
      <color theme="1"/>
      <sz val="14"/>
    </font>
    <font>
      <name val="Open Sans"/>
      <family val="2"/>
      <color rgb="FF0000FF"/>
      <sz val="14"/>
      <u val="single"/>
    </font>
    <font>
      <name val="Open Sans"/>
      <family val="2"/>
      <color theme="0"/>
      <sz val="18"/>
    </font>
    <font>
      <name val="Calibri"/>
      <family val="2"/>
      <sz val="11"/>
    </font>
    <font>
      <name val="Open Sans"/>
      <family val="2"/>
      <color theme="1"/>
      <sz val="18"/>
    </font>
    <font>
      <name val="Open Sans"/>
      <family val="2"/>
      <color theme="1"/>
      <sz val="10"/>
    </font>
    <font>
      <name val="Open Sans"/>
      <family val="2"/>
      <b val="1"/>
      <color theme="0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5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5" borderId="5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left" vertical="center"/>
    </xf>
    <xf numFmtId="9" fontId="9" fillId="5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15" fontId="8" fillId="0" borderId="1" applyAlignment="1" pivotButton="0" quotePrefix="0" xfId="0">
      <alignment horizontal="left" vertical="center"/>
    </xf>
    <xf numFmtId="164" fontId="8" fillId="0" borderId="7" applyAlignment="1" pivotButton="0" quotePrefix="0" xfId="0">
      <alignment horizontal="left" vertical="center"/>
    </xf>
    <xf numFmtId="4" fontId="8" fillId="0" borderId="1" applyAlignment="1" pivotButton="0" quotePrefix="0" xfId="0">
      <alignment horizontal="left" vertical="center"/>
    </xf>
    <xf numFmtId="9" fontId="8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vertical="center" wrapText="1"/>
    </xf>
    <xf numFmtId="0" fontId="0" fillId="0" borderId="0" pivotButton="0" quotePrefix="0" xfId="0"/>
    <xf numFmtId="0" fontId="5" fillId="4" borderId="2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4" pivotButton="0" quotePrefix="0" xfId="0"/>
    <xf numFmtId="0" fontId="1" fillId="0" borderId="1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4"/>
  <sheetViews>
    <sheetView showGridLines="0" tabSelected="1" workbookViewId="0">
      <selection activeCell="H9" sqref="H9"/>
    </sheetView>
  </sheetViews>
  <sheetFormatPr baseColWidth="8" defaultColWidth="14.42578125" defaultRowHeight="15" customHeight="1"/>
  <cols>
    <col width="18.5703125" customWidth="1" style="23" min="1" max="1"/>
    <col width="47.28515625" customWidth="1" style="23" min="2" max="2"/>
    <col width="63.42578125" bestFit="1" customWidth="1" style="23" min="3" max="3"/>
  </cols>
  <sheetData>
    <row r="1">
      <c r="A1" s="28" t="inlineStr">
        <is>
          <t>Given Dataset containing employee details with employee-code, experience, department, city, salaries etc. You are suppose to use logical functions according to the actions with condition given below and evaluate the solution into the logical sheet given below.</t>
        </is>
      </c>
    </row>
    <row r="2">
      <c r="A2" s="2" t="n"/>
      <c r="B2" s="2" t="n"/>
      <c r="C2" s="2" t="n"/>
    </row>
    <row r="3">
      <c r="A3" s="4" t="n"/>
      <c r="B3" s="4" t="inlineStr">
        <is>
          <t>Actions</t>
        </is>
      </c>
      <c r="C3" s="4" t="inlineStr">
        <is>
          <t>Condition</t>
        </is>
      </c>
    </row>
    <row r="4" ht="34.5" customHeight="1" s="23">
      <c r="A4" s="5" t="inlineStr">
        <is>
          <t>Action 1</t>
        </is>
      </c>
      <c r="B4" s="6" t="inlineStr">
        <is>
          <t>Terminate the employee whose performance is</t>
        </is>
      </c>
      <c r="C4" s="6" t="inlineStr">
        <is>
          <t>Very Poor</t>
        </is>
      </c>
    </row>
    <row r="5" ht="30" customHeight="1" s="23">
      <c r="A5" s="5" t="inlineStr">
        <is>
          <t>Action 2</t>
        </is>
      </c>
      <c r="B5" s="6" t="inlineStr">
        <is>
          <t>Give 5% bonus to employee having rating as</t>
        </is>
      </c>
      <c r="C5" s="6" t="inlineStr">
        <is>
          <t>Very Good</t>
        </is>
      </c>
    </row>
    <row r="6" ht="75" customHeight="1" s="23">
      <c r="A6" s="5" t="inlineStr">
        <is>
          <t>Action 3</t>
        </is>
      </c>
      <c r="B6" s="6" t="inlineStr">
        <is>
          <t>Display the salary grouping based on condition</t>
        </is>
      </c>
      <c r="C6" s="27" t="inlineStr">
        <is>
          <t>Less than 40000-Low 
41000 to 80000- Mid
Above 80000- High</t>
        </is>
      </c>
    </row>
    <row r="7" ht="30.75" customHeight="1" s="23">
      <c r="A7" s="5" t="inlineStr">
        <is>
          <t>Action 4</t>
        </is>
      </c>
      <c r="B7" s="6" t="inlineStr">
        <is>
          <t>Give option of Work from Home to</t>
        </is>
      </c>
      <c r="C7" s="6" t="inlineStr">
        <is>
          <t>HR and Mumbai</t>
        </is>
      </c>
    </row>
    <row r="8" ht="27" customHeight="1" s="23">
      <c r="A8" s="5" t="inlineStr">
        <is>
          <t>Action 5</t>
        </is>
      </c>
      <c r="B8" s="6" t="inlineStr">
        <is>
          <t>Give option of Work from Home to</t>
        </is>
      </c>
      <c r="C8" s="6" t="inlineStr">
        <is>
          <t>HR or Finance</t>
        </is>
      </c>
    </row>
    <row r="9" ht="40.5" customHeight="1" s="23">
      <c r="A9" s="5" t="inlineStr">
        <is>
          <t>Action 6</t>
        </is>
      </c>
      <c r="B9" s="6" t="inlineStr">
        <is>
          <t>Give Increment based on performance</t>
        </is>
      </c>
      <c r="C9" s="6" t="inlineStr">
        <is>
          <t>Very Good:15%
Good: 12%
Average: 10%
Else: Not applicable</t>
        </is>
      </c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7" t="inlineStr">
        <is>
          <t xml:space="preserve">Click here to </t>
        </is>
      </c>
      <c r="B13" s="8" t="inlineStr">
        <is>
          <t>Go to the sheet- Logical</t>
        </is>
      </c>
      <c r="C13" s="2" t="n"/>
    </row>
    <row r="14">
      <c r="A14" s="7" t="n"/>
      <c r="B14" s="9" t="n"/>
      <c r="C14" s="2" t="n"/>
    </row>
  </sheetData>
  <mergeCells count="1">
    <mergeCell ref="A1:C1"/>
  </mergeCells>
  <hyperlinks>
    <hyperlink ref="B13" location="Logical!A1" display="Go to the sheet- Logica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0"/>
  <sheetViews>
    <sheetView showGridLines="0" topLeftCell="I1" workbookViewId="0">
      <pane ySplit="3" topLeftCell="A4" activePane="bottomLeft" state="frozen"/>
      <selection pane="bottomLeft" activeCell="S14" sqref="S14"/>
    </sheetView>
  </sheetViews>
  <sheetFormatPr baseColWidth="8" defaultColWidth="14.42578125" defaultRowHeight="15" customHeight="1"/>
  <cols>
    <col width="11" customWidth="1" style="23" min="1" max="1"/>
    <col width="19.42578125" customWidth="1" style="23" min="2" max="2"/>
    <col width="22.5703125" customWidth="1" style="23" min="3" max="3"/>
    <col width="18.85546875" customWidth="1" style="23" min="4" max="4"/>
    <col width="16" customWidth="1" style="23" min="5" max="5"/>
    <col width="18.28515625" customWidth="1" style="23" min="6" max="6"/>
    <col width="14" customWidth="1" style="23" min="7" max="7"/>
    <col width="15.5703125" customWidth="1" style="23" min="8" max="8"/>
    <col width="16.5703125" customWidth="1" style="23" min="9" max="9"/>
    <col width="13" customWidth="1" style="23" min="10" max="10"/>
    <col width="13.140625" customWidth="1" style="23" min="11" max="11"/>
    <col width="22.85546875" customWidth="1" style="23" min="12" max="12"/>
    <col width="12.42578125" customWidth="1" style="23" min="13" max="13"/>
    <col width="10.28515625" customWidth="1" style="23" min="14" max="14"/>
    <col width="9.7109375" customWidth="1" style="23" min="15" max="15"/>
    <col width="14.5703125" customWidth="1" style="23" min="16" max="16"/>
    <col width="14.7109375" customWidth="1" style="23" min="17" max="19"/>
    <col width="19" customWidth="1" style="23" min="20" max="21"/>
    <col width="14.7109375" customWidth="1" style="23" min="22" max="22"/>
    <col width="8.7109375" customWidth="1" style="23" min="23" max="33"/>
  </cols>
  <sheetData>
    <row r="1" ht="36" customHeight="1" s="23">
      <c r="A1" s="10" t="inlineStr">
        <is>
          <t>Employee Details</t>
        </is>
      </c>
      <c r="Q1" s="10" t="n"/>
      <c r="R1" s="10" t="n"/>
      <c r="S1" s="10" t="n"/>
      <c r="T1" s="10" t="n"/>
      <c r="U1" s="10" t="n"/>
      <c r="V1" s="10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4.25" customHeight="1" s="23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</row>
    <row r="3" ht="14.25" customHeight="1" s="23">
      <c r="A3" s="13" t="inlineStr">
        <is>
          <t>Emp Code</t>
        </is>
      </c>
      <c r="B3" s="14" t="inlineStr">
        <is>
          <t>Emp First Name</t>
        </is>
      </c>
      <c r="C3" s="14" t="inlineStr">
        <is>
          <t>Emp Middle Name</t>
        </is>
      </c>
      <c r="D3" s="14" t="inlineStr">
        <is>
          <t>Emp Last Name</t>
        </is>
      </c>
      <c r="E3" s="14" t="inlineStr">
        <is>
          <t>Date of Birth</t>
        </is>
      </c>
      <c r="F3" s="14" t="inlineStr">
        <is>
          <t>Date of Joining</t>
        </is>
      </c>
      <c r="G3" s="14" t="inlineStr">
        <is>
          <t>Experience</t>
        </is>
      </c>
      <c r="H3" s="14" t="inlineStr">
        <is>
          <t>Branch Code</t>
        </is>
      </c>
      <c r="I3" s="14" t="inlineStr">
        <is>
          <t>Branch Name</t>
        </is>
      </c>
      <c r="J3" s="14" t="inlineStr">
        <is>
          <t>Phone No.</t>
        </is>
      </c>
      <c r="K3" s="14" t="inlineStr">
        <is>
          <t>Dept Code</t>
        </is>
      </c>
      <c r="L3" s="14" t="inlineStr">
        <is>
          <t>Department Name</t>
        </is>
      </c>
      <c r="M3" s="14" t="inlineStr">
        <is>
          <t>Education</t>
        </is>
      </c>
      <c r="N3" s="14" t="inlineStr">
        <is>
          <t>Rating</t>
        </is>
      </c>
      <c r="O3" s="14" t="inlineStr">
        <is>
          <t>Gender</t>
        </is>
      </c>
      <c r="P3" s="14" t="inlineStr">
        <is>
          <t>Total Salary</t>
        </is>
      </c>
      <c r="Q3" s="14" t="inlineStr">
        <is>
          <t>Action 1</t>
        </is>
      </c>
      <c r="R3" s="15" t="inlineStr">
        <is>
          <t>Action 2</t>
        </is>
      </c>
      <c r="S3" s="14" t="inlineStr">
        <is>
          <t>Action 3</t>
        </is>
      </c>
      <c r="T3" s="14" t="inlineStr">
        <is>
          <t>Action 4</t>
        </is>
      </c>
      <c r="U3" s="14" t="inlineStr">
        <is>
          <t>Action 5</t>
        </is>
      </c>
      <c r="V3" s="14" t="inlineStr">
        <is>
          <t>Action 6</t>
        </is>
      </c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.75" customHeight="1" s="23">
      <c r="A4" s="17" t="inlineStr">
        <is>
          <t>EMP-95480</t>
        </is>
      </c>
      <c r="B4" s="17" t="inlineStr">
        <is>
          <t>YASH</t>
        </is>
      </c>
      <c r="C4" s="17" t="inlineStr">
        <is>
          <t>ADESH</t>
        </is>
      </c>
      <c r="D4" s="17" t="inlineStr">
        <is>
          <t>KUMAR</t>
        </is>
      </c>
      <c r="E4" s="18" t="n">
        <v>21976</v>
      </c>
      <c r="F4" s="18" t="n">
        <v>41248</v>
      </c>
      <c r="G4" s="17" t="n">
        <v>5</v>
      </c>
      <c r="H4" s="17" t="inlineStr">
        <is>
          <t>Loc-1003</t>
        </is>
      </c>
      <c r="I4" s="17" t="inlineStr">
        <is>
          <t>NAGPUR</t>
        </is>
      </c>
      <c r="J4" s="17" t="inlineStr">
        <is>
          <t>79203827xx</t>
        </is>
      </c>
      <c r="K4" s="17" t="inlineStr">
        <is>
          <t>Dept-103</t>
        </is>
      </c>
      <c r="L4" s="17" t="inlineStr">
        <is>
          <t>FINANCE</t>
        </is>
      </c>
      <c r="M4" s="17" t="inlineStr">
        <is>
          <t>Mcom</t>
        </is>
      </c>
      <c r="N4" s="17" t="inlineStr">
        <is>
          <t>Very Poor</t>
        </is>
      </c>
      <c r="O4" s="17" t="inlineStr">
        <is>
          <t>Male</t>
        </is>
      </c>
      <c r="P4" s="19" t="n">
        <v>82746.99000000001</v>
      </c>
      <c r="Q4" s="17">
        <f>IF(N4="Very Poor","Terminate","")</f>
        <v/>
      </c>
      <c r="R4" s="20">
        <f>IF(N4="Very Good",P4*5%,0)</f>
        <v/>
      </c>
      <c r="S4" s="17">
        <f>IF(P4&lt;40000,"Low",IF(AND(P4&gt;=41000,P4&lt;=80000),"Mid",IF(P4&gt;80000,"High","")))</f>
        <v/>
      </c>
      <c r="T4" s="17">
        <f>IF(AND(L4="HR",I4="MUMBAI"),"Yes","No")</f>
        <v/>
      </c>
      <c r="U4" s="17">
        <f>IF(OR(L4="HR",L4="FINANCE"),"Yes","No")</f>
        <v/>
      </c>
      <c r="V4" s="21">
        <f>IF(N4="Very Good",15%,IF(N4="Good",12%,IF(N4="Average",10%,"Not applicable")))</f>
        <v/>
      </c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</row>
    <row r="5" ht="18.75" customHeight="1" s="23">
      <c r="A5" s="17" t="inlineStr">
        <is>
          <t>EMP-95444</t>
        </is>
      </c>
      <c r="B5" s="17" t="inlineStr">
        <is>
          <t>SUKANYA</t>
        </is>
      </c>
      <c r="C5" s="17" t="inlineStr">
        <is>
          <t>AJAY</t>
        </is>
      </c>
      <c r="D5" s="17" t="inlineStr">
        <is>
          <t>DHANANJAY</t>
        </is>
      </c>
      <c r="E5" s="18" t="n">
        <v>28282</v>
      </c>
      <c r="F5" s="18" t="n">
        <v>41187</v>
      </c>
      <c r="G5" s="17" t="n">
        <v>6</v>
      </c>
      <c r="H5" s="17" t="inlineStr">
        <is>
          <t>Loc-1001</t>
        </is>
      </c>
      <c r="I5" s="17" t="inlineStr">
        <is>
          <t>DELHI</t>
        </is>
      </c>
      <c r="J5" s="17" t="inlineStr">
        <is>
          <t>79221649xx</t>
        </is>
      </c>
      <c r="K5" s="17" t="inlineStr">
        <is>
          <t>Dept-103</t>
        </is>
      </c>
      <c r="L5" s="17" t="inlineStr">
        <is>
          <t>FINANCE</t>
        </is>
      </c>
      <c r="M5" s="17" t="inlineStr">
        <is>
          <t>MBA</t>
        </is>
      </c>
      <c r="N5" s="17" t="inlineStr">
        <is>
          <t>Good</t>
        </is>
      </c>
      <c r="O5" s="17" t="inlineStr">
        <is>
          <t>Female</t>
        </is>
      </c>
      <c r="P5" s="19" t="n">
        <v>36895.95</v>
      </c>
      <c r="Q5" s="17">
        <f>IF(N5="Very Poor","Terminate","")</f>
        <v/>
      </c>
      <c r="R5" s="20">
        <f>IF(N5="Very Good",P5*5%,0)</f>
        <v/>
      </c>
      <c r="S5" s="17">
        <f>IF(P5&lt;40000,"Low",IF(AND(P5&gt;=41000,P5&lt;=80000),"Mid",IF(P5&gt;80000,"High","")))</f>
        <v/>
      </c>
      <c r="T5" s="17">
        <f>IF(AND(L5="HR",I5="MUMBAI"),"Yes","No")</f>
        <v/>
      </c>
      <c r="U5" s="17">
        <f>IF(OR(L5="HR",L5="FINANCE"),"Yes","No")</f>
        <v/>
      </c>
      <c r="V5" s="21">
        <f>IF(N5="Very Good",15%,IF(N5="Good",12%,IF(N5="Average",10%,"Not applicable")))</f>
        <v/>
      </c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</row>
    <row r="6" ht="14.25" customHeight="1" s="23">
      <c r="A6" s="17" t="inlineStr">
        <is>
          <t>EMP-95504</t>
        </is>
      </c>
      <c r="B6" s="17" t="inlineStr">
        <is>
          <t>VAIBHAVI</t>
        </is>
      </c>
      <c r="C6" s="17" t="inlineStr">
        <is>
          <t>AJAY</t>
        </is>
      </c>
      <c r="D6" s="17" t="inlineStr">
        <is>
          <t>SHEKHAR</t>
        </is>
      </c>
      <c r="E6" s="18" t="n">
        <v>21976</v>
      </c>
      <c r="F6" s="18" t="n">
        <v>41218</v>
      </c>
      <c r="G6" s="17" t="n">
        <v>8</v>
      </c>
      <c r="H6" s="17" t="inlineStr">
        <is>
          <t>Loc-1004</t>
        </is>
      </c>
      <c r="I6" s="17" t="inlineStr">
        <is>
          <t>MUMBAI</t>
        </is>
      </c>
      <c r="J6" s="17" t="inlineStr">
        <is>
          <t>79212738xx</t>
        </is>
      </c>
      <c r="K6" s="17" t="inlineStr">
        <is>
          <t>Dept-102</t>
        </is>
      </c>
      <c r="L6" s="17" t="inlineStr">
        <is>
          <t>HR</t>
        </is>
      </c>
      <c r="M6" s="17" t="inlineStr">
        <is>
          <t>ICWA</t>
        </is>
      </c>
      <c r="N6" s="17" t="inlineStr">
        <is>
          <t>Very Poor</t>
        </is>
      </c>
      <c r="O6" s="17" t="inlineStr">
        <is>
          <t>Female</t>
        </is>
      </c>
      <c r="P6" s="19" t="n">
        <v>141555.6</v>
      </c>
      <c r="Q6" s="17">
        <f>IF(N6="Very Poor","Terminate","")</f>
        <v/>
      </c>
      <c r="R6" s="20">
        <f>IF(N6="Very Good",P6*5%,0)</f>
        <v/>
      </c>
      <c r="S6" s="17">
        <f>IF(P6&lt;40000,"Low",IF(AND(P6&gt;=41000,P6&lt;=80000),"Mid",IF(P6&gt;80000,"High","")))</f>
        <v/>
      </c>
      <c r="T6" s="17">
        <f>IF(AND(L6="HR",I6="MUMBAI"),"Yes","No")</f>
        <v/>
      </c>
      <c r="U6" s="17">
        <f>IF(OR(L6="HR",L6="FINANCE"),"Yes","No")</f>
        <v/>
      </c>
      <c r="V6" s="21">
        <f>IF(N6="Very Good",15%,IF(N6="Good",12%,IF(N6="Average",10%,"Not applicable")))</f>
        <v/>
      </c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</row>
    <row r="7" ht="14.25" customHeight="1" s="23">
      <c r="A7" s="17" t="inlineStr">
        <is>
          <t>EMP-95462</t>
        </is>
      </c>
      <c r="B7" s="17" t="inlineStr">
        <is>
          <t>SHIVANI</t>
        </is>
      </c>
      <c r="C7" s="17" t="inlineStr">
        <is>
          <t>AJIT</t>
        </is>
      </c>
      <c r="D7" s="17" t="inlineStr">
        <is>
          <t>RITESH</t>
        </is>
      </c>
      <c r="E7" s="18" t="n">
        <v>28282</v>
      </c>
      <c r="F7" s="18" t="n">
        <v>41157</v>
      </c>
      <c r="G7" s="17" t="n">
        <v>7</v>
      </c>
      <c r="H7" s="17" t="inlineStr">
        <is>
          <t>Loc-1002</t>
        </is>
      </c>
      <c r="I7" s="17" t="inlineStr">
        <is>
          <t>BANGALORE</t>
        </is>
      </c>
      <c r="J7" s="17" t="inlineStr">
        <is>
          <t>79230559xx</t>
        </is>
      </c>
      <c r="K7" s="17" t="inlineStr">
        <is>
          <t>Dept-103</t>
        </is>
      </c>
      <c r="L7" s="17" t="inlineStr">
        <is>
          <t>FINANCE</t>
        </is>
      </c>
      <c r="M7" s="17" t="inlineStr">
        <is>
          <t>M S</t>
        </is>
      </c>
      <c r="N7" s="17" t="inlineStr">
        <is>
          <t>Good</t>
        </is>
      </c>
      <c r="O7" s="17" t="inlineStr">
        <is>
          <t>Female</t>
        </is>
      </c>
      <c r="P7" s="19" t="n">
        <v>91631.7</v>
      </c>
      <c r="Q7" s="17">
        <f>IF(N7="Very Poor","Terminate","")</f>
        <v/>
      </c>
      <c r="R7" s="20">
        <f>IF(N7="Very Good",P7*5%,0)</f>
        <v/>
      </c>
      <c r="S7" s="17">
        <f>IF(P7&lt;40000,"Low",IF(AND(P7&gt;=41000,P7&lt;=80000),"Mid",IF(P7&gt;80000,"High","")))</f>
        <v/>
      </c>
      <c r="T7" s="17">
        <f>IF(AND(L7="HR",I7="MUMBAI"),"Yes","No")</f>
        <v/>
      </c>
      <c r="U7" s="17">
        <f>IF(OR(L7="HR",L7="FINANCE"),"Yes","No")</f>
        <v/>
      </c>
      <c r="V7" s="21">
        <f>IF(N7="Very Good",15%,IF(N7="Good",12%,IF(N7="Average",10%,"Not applicable")))</f>
        <v/>
      </c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</row>
    <row r="8" ht="14.25" customHeight="1" s="23">
      <c r="A8" s="17" t="inlineStr">
        <is>
          <t>EMP-95481</t>
        </is>
      </c>
      <c r="B8" s="17" t="inlineStr">
        <is>
          <t>SHEETAL</t>
        </is>
      </c>
      <c r="C8" s="17" t="inlineStr">
        <is>
          <t>ANAND</t>
        </is>
      </c>
      <c r="D8" s="17" t="inlineStr">
        <is>
          <t>AWALGAONKAR</t>
        </is>
      </c>
      <c r="E8" s="18" t="n">
        <v>28894</v>
      </c>
      <c r="F8" s="18" t="n">
        <v>41126</v>
      </c>
      <c r="G8" s="17" t="n">
        <v>8</v>
      </c>
      <c r="H8" s="17" t="inlineStr">
        <is>
          <t>Loc-1003</t>
        </is>
      </c>
      <c r="I8" s="17" t="inlineStr">
        <is>
          <t>NAGPUR</t>
        </is>
      </c>
      <c r="J8" s="17" t="inlineStr">
        <is>
          <t>79239470xx</t>
        </is>
      </c>
      <c r="K8" s="17" t="inlineStr">
        <is>
          <t>Dept-101</t>
        </is>
      </c>
      <c r="L8" s="17" t="inlineStr">
        <is>
          <t>PRODUCTION</t>
        </is>
      </c>
      <c r="M8" s="17" t="inlineStr">
        <is>
          <t>B.E</t>
        </is>
      </c>
      <c r="N8" s="17" t="inlineStr">
        <is>
          <t>Not Rated</t>
        </is>
      </c>
      <c r="O8" s="17" t="inlineStr">
        <is>
          <t>Female</t>
        </is>
      </c>
      <c r="P8" s="19" t="n">
        <v>25710.12</v>
      </c>
      <c r="Q8" s="17">
        <f>IF(N8="Very Poor","Terminate","")</f>
        <v/>
      </c>
      <c r="R8" s="20">
        <f>IF(N8="Very Good",P8*5%,0)</f>
        <v/>
      </c>
      <c r="S8" s="17">
        <f>IF(P8&lt;40000,"Low",IF(AND(P8&gt;=41000,P8&lt;=80000),"Mid",IF(P8&gt;80000,"High","")))</f>
        <v/>
      </c>
      <c r="T8" s="17">
        <f>IF(AND(L8="HR",I8="MUMBAI"),"Yes","No")</f>
        <v/>
      </c>
      <c r="U8" s="17">
        <f>IF(OR(L8="HR",L8="FINANCE"),"Yes","No")</f>
        <v/>
      </c>
      <c r="V8" s="21">
        <f>IF(N8="Very Good",15%,IF(N8="Good",12%,IF(N8="Average",10%,"Not applicable")))</f>
        <v/>
      </c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</row>
    <row r="9" ht="18.75" customHeight="1" s="23">
      <c r="A9" s="17" t="inlineStr">
        <is>
          <t>EMP-95505</t>
        </is>
      </c>
      <c r="B9" s="17" t="inlineStr">
        <is>
          <t>SAYANTAN</t>
        </is>
      </c>
      <c r="C9" s="17" t="inlineStr">
        <is>
          <t>ANAND</t>
        </is>
      </c>
      <c r="D9" s="17" t="inlineStr">
        <is>
          <t>GAWANDE</t>
        </is>
      </c>
      <c r="E9" s="18" t="n">
        <v>28894</v>
      </c>
      <c r="F9" s="18" t="n">
        <v>41095</v>
      </c>
      <c r="G9" s="17" t="n">
        <v>5</v>
      </c>
      <c r="H9" s="17" t="inlineStr">
        <is>
          <t>Loc-1004</t>
        </is>
      </c>
      <c r="I9" s="17" t="inlineStr">
        <is>
          <t>MUMBAI</t>
        </is>
      </c>
      <c r="J9" s="17" t="inlineStr">
        <is>
          <t>79248381xx</t>
        </is>
      </c>
      <c r="K9" s="17" t="inlineStr">
        <is>
          <t>Dept-103</t>
        </is>
      </c>
      <c r="L9" s="17" t="inlineStr">
        <is>
          <t>FINANCE</t>
        </is>
      </c>
      <c r="M9" s="17" t="inlineStr">
        <is>
          <t>PGDBM</t>
        </is>
      </c>
      <c r="N9" s="17" t="inlineStr">
        <is>
          <t>Average</t>
        </is>
      </c>
      <c r="O9" s="17" t="inlineStr">
        <is>
          <t>Male</t>
        </is>
      </c>
      <c r="P9" s="19" t="n">
        <v>116361.09</v>
      </c>
      <c r="Q9" s="17">
        <f>IF(N9="Very Poor","Terminate","")</f>
        <v/>
      </c>
      <c r="R9" s="20">
        <f>IF(N9="Very Good",P9*5%,0)</f>
        <v/>
      </c>
      <c r="S9" s="17">
        <f>IF(P9&lt;40000,"Low",IF(AND(P9&gt;=41000,P9&lt;=80000),"Mid",IF(P9&gt;80000,"High","")))</f>
        <v/>
      </c>
      <c r="T9" s="17">
        <f>IF(AND(L9="HR",I9="MUMBAI"),"Yes","No")</f>
        <v/>
      </c>
      <c r="U9" s="17">
        <f>IF(OR(L9="HR",L9="FINANCE"),"Yes","No")</f>
        <v/>
      </c>
      <c r="V9" s="21">
        <f>IF(N9="Very Good",15%,IF(N9="Good",12%,IF(N9="Average",10%,"Not applicable")))</f>
        <v/>
      </c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</row>
    <row r="10" ht="18.75" customHeight="1" s="23">
      <c r="A10" s="17" t="inlineStr">
        <is>
          <t>EMP-95544</t>
        </is>
      </c>
      <c r="B10" s="17" t="inlineStr">
        <is>
          <t>SANTOSH</t>
        </is>
      </c>
      <c r="C10" s="17" t="inlineStr">
        <is>
          <t>ANANDKUMAR</t>
        </is>
      </c>
      <c r="D10" s="17" t="inlineStr">
        <is>
          <t>GADEKAR</t>
        </is>
      </c>
      <c r="E10" s="18" t="n">
        <v>29222</v>
      </c>
      <c r="F10" s="18" t="n">
        <v>41065</v>
      </c>
      <c r="G10" s="17" t="n">
        <v>5</v>
      </c>
      <c r="H10" s="17" t="inlineStr">
        <is>
          <t>Loc-1005</t>
        </is>
      </c>
      <c r="I10" s="17" t="inlineStr">
        <is>
          <t>CHENNAI</t>
        </is>
      </c>
      <c r="J10" s="17" t="inlineStr">
        <is>
          <t>79257292xx</t>
        </is>
      </c>
      <c r="K10" s="17" t="inlineStr">
        <is>
          <t>Dept-104</t>
        </is>
      </c>
      <c r="L10" s="17" t="inlineStr">
        <is>
          <t>MARKETING</t>
        </is>
      </c>
      <c r="M10" s="17" t="inlineStr">
        <is>
          <t>B.E</t>
        </is>
      </c>
      <c r="N10" s="17" t="inlineStr">
        <is>
          <t>Very Poor</t>
        </is>
      </c>
      <c r="O10" s="17" t="inlineStr">
        <is>
          <t>Male</t>
        </is>
      </c>
      <c r="P10" s="19" t="n">
        <v>90048.14999999999</v>
      </c>
      <c r="Q10" s="17">
        <f>IF(N10="Very Poor","Terminate","")</f>
        <v/>
      </c>
      <c r="R10" s="20">
        <f>IF(N10="Very Good",P10*5%,0)</f>
        <v/>
      </c>
      <c r="S10" s="17">
        <f>IF(P10&lt;40000,"Low",IF(AND(P10&gt;=41000,P10&lt;=80000),"Mid",IF(P10&gt;80000,"High","")))</f>
        <v/>
      </c>
      <c r="T10" s="17">
        <f>IF(AND(L10="HR",I10="MUMBAI"),"Yes","No")</f>
        <v/>
      </c>
      <c r="U10" s="17">
        <f>IF(OR(L10="HR",L10="FINANCE"),"Yes","No")</f>
        <v/>
      </c>
      <c r="V10" s="21">
        <f>IF(N10="Very Good",15%,IF(N10="Good",12%,IF(N10="Average",10%,"Not applicable")))</f>
        <v/>
      </c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</row>
    <row r="11" ht="14.25" customHeight="1" s="23">
      <c r="A11" s="17" t="inlineStr">
        <is>
          <t>EMP-95506</t>
        </is>
      </c>
      <c r="B11" s="17" t="inlineStr">
        <is>
          <t>SANKET</t>
        </is>
      </c>
      <c r="C11" s="17" t="inlineStr">
        <is>
          <t>ANIL</t>
        </is>
      </c>
      <c r="D11" s="17" t="inlineStr">
        <is>
          <t>KELKAR</t>
        </is>
      </c>
      <c r="E11" s="18" t="n">
        <v>29222</v>
      </c>
      <c r="F11" s="18" t="n">
        <v>41034</v>
      </c>
      <c r="G11" s="17" t="n">
        <v>6</v>
      </c>
      <c r="H11" s="17" t="inlineStr">
        <is>
          <t>Loc-1004</t>
        </is>
      </c>
      <c r="I11" s="17" t="inlineStr">
        <is>
          <t>MUMBAI</t>
        </is>
      </c>
      <c r="J11" s="17" t="inlineStr">
        <is>
          <t>79266203xx</t>
        </is>
      </c>
      <c r="K11" s="17" t="inlineStr">
        <is>
          <t>Dept-105</t>
        </is>
      </c>
      <c r="L11" s="17" t="inlineStr">
        <is>
          <t>ADMIN</t>
        </is>
      </c>
      <c r="M11" s="17" t="inlineStr">
        <is>
          <t>PGDBM</t>
        </is>
      </c>
      <c r="N11" s="17" t="inlineStr">
        <is>
          <t>Good</t>
        </is>
      </c>
      <c r="O11" s="17" t="inlineStr">
        <is>
          <t>Male</t>
        </is>
      </c>
      <c r="P11" s="19" t="n">
        <v>97552.79999999999</v>
      </c>
      <c r="Q11" s="17">
        <f>IF(N11="Very Poor","Terminate","")</f>
        <v/>
      </c>
      <c r="R11" s="20">
        <f>IF(N11="Very Good",P11*5%,0)</f>
        <v/>
      </c>
      <c r="S11" s="17">
        <f>IF(P11&lt;40000,"Low",IF(AND(P11&gt;=41000,P11&lt;=80000),"Mid",IF(P11&gt;80000,"High","")))</f>
        <v/>
      </c>
      <c r="T11" s="17">
        <f>IF(AND(L11="HR",I11="MUMBAI"),"Yes","No")</f>
        <v/>
      </c>
      <c r="U11" s="17">
        <f>IF(OR(L11="HR",L11="FINANCE"),"Yes","No")</f>
        <v/>
      </c>
      <c r="V11" s="21">
        <f>IF(N11="Very Good",15%,IF(N11="Good",12%,IF(N11="Average",10%,"Not applicable")))</f>
        <v/>
      </c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</row>
    <row r="12" ht="18.75" customHeight="1" s="23">
      <c r="A12" s="17" t="inlineStr">
        <is>
          <t>EMP-95545</t>
        </is>
      </c>
      <c r="B12" s="17" t="inlineStr">
        <is>
          <t>SACHIN</t>
        </is>
      </c>
      <c r="C12" s="17" t="inlineStr">
        <is>
          <t>ANIL</t>
        </is>
      </c>
      <c r="D12" s="17" t="inlineStr">
        <is>
          <t>SHARMA</t>
        </is>
      </c>
      <c r="E12" s="18" t="n">
        <v>29984</v>
      </c>
      <c r="F12" s="18" t="n">
        <v>41004</v>
      </c>
      <c r="G12" s="17" t="n">
        <v>7</v>
      </c>
      <c r="H12" s="17" t="inlineStr">
        <is>
          <t>Loc-1005</t>
        </is>
      </c>
      <c r="I12" s="17" t="inlineStr">
        <is>
          <t>CHENNAI</t>
        </is>
      </c>
      <c r="J12" s="17" t="inlineStr">
        <is>
          <t>79275114xx</t>
        </is>
      </c>
      <c r="K12" s="17" t="inlineStr">
        <is>
          <t>Dept-105</t>
        </is>
      </c>
      <c r="L12" s="17" t="inlineStr">
        <is>
          <t>ADMIN</t>
        </is>
      </c>
      <c r="M12" s="17" t="inlineStr">
        <is>
          <t>MCOM</t>
        </is>
      </c>
      <c r="N12" s="17" t="inlineStr">
        <is>
          <t>Poor</t>
        </is>
      </c>
      <c r="O12" s="17" t="inlineStr">
        <is>
          <t>Male</t>
        </is>
      </c>
      <c r="P12" s="19" t="n">
        <v>51597.71999999999</v>
      </c>
      <c r="Q12" s="17">
        <f>IF(N12="Very Poor","Terminate","")</f>
        <v/>
      </c>
      <c r="R12" s="20">
        <f>IF(N12="Very Good",P12*5%,0)</f>
        <v/>
      </c>
      <c r="S12" s="17">
        <f>IF(P12&lt;40000,"Low",IF(AND(P12&gt;=41000,P12&lt;=80000),"Mid",IF(P12&gt;80000,"High","")))</f>
        <v/>
      </c>
      <c r="T12" s="17">
        <f>IF(AND(L12="HR",I12="MUMBAI"),"Yes","No")</f>
        <v/>
      </c>
      <c r="U12" s="17">
        <f>IF(OR(L12="HR",L12="FINANCE"),"Yes","No")</f>
        <v/>
      </c>
      <c r="V12" s="21">
        <f>IF(N12="Very Good",15%,IF(N12="Good",12%,IF(N12="Average",10%,"Not applicable")))</f>
        <v/>
      </c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</row>
    <row r="13" ht="18.75" customHeight="1" s="23">
      <c r="A13" s="17" t="inlineStr">
        <is>
          <t>EMP-95507</t>
        </is>
      </c>
      <c r="B13" s="17" t="inlineStr">
        <is>
          <t>RITIKA</t>
        </is>
      </c>
      <c r="C13" s="17" t="inlineStr">
        <is>
          <t>ARJUN</t>
        </is>
      </c>
      <c r="D13" s="17" t="inlineStr">
        <is>
          <t>FADKE</t>
        </is>
      </c>
      <c r="E13" s="18" t="n">
        <v>29984</v>
      </c>
      <c r="F13" s="18" t="n">
        <v>40973</v>
      </c>
      <c r="G13" s="17" t="n">
        <v>8</v>
      </c>
      <c r="H13" s="17" t="inlineStr">
        <is>
          <t>Loc-1004</t>
        </is>
      </c>
      <c r="I13" s="17" t="inlineStr">
        <is>
          <t>MUMBAI</t>
        </is>
      </c>
      <c r="J13" s="17" t="inlineStr">
        <is>
          <t>79284025xx</t>
        </is>
      </c>
      <c r="K13" s="17" t="inlineStr">
        <is>
          <t>Dept-102</t>
        </is>
      </c>
      <c r="L13" s="17" t="inlineStr">
        <is>
          <t>HR</t>
        </is>
      </c>
      <c r="M13" s="17" t="inlineStr">
        <is>
          <t>MBA</t>
        </is>
      </c>
      <c r="N13" s="17" t="inlineStr">
        <is>
          <t>Very Poor</t>
        </is>
      </c>
      <c r="O13" s="17" t="inlineStr">
        <is>
          <t>Female</t>
        </is>
      </c>
      <c r="P13" s="19" t="n">
        <v>105103.35</v>
      </c>
      <c r="Q13" s="17">
        <f>IF(N13="Very Poor","Terminate","")</f>
        <v/>
      </c>
      <c r="R13" s="20">
        <f>IF(N13="Very Good",P13*5%,0)</f>
        <v/>
      </c>
      <c r="S13" s="17">
        <f>IF(P13&lt;40000,"Low",IF(AND(P13&gt;=41000,P13&lt;=80000),"Mid",IF(P13&gt;80000,"High","")))</f>
        <v/>
      </c>
      <c r="T13" s="17">
        <f>IF(AND(L13="HR",I13="MUMBAI"),"Yes","No")</f>
        <v/>
      </c>
      <c r="U13" s="17">
        <f>IF(OR(L13="HR",L13="FINANCE"),"Yes","No")</f>
        <v/>
      </c>
      <c r="V13" s="21">
        <f>IF(N13="Very Good",15%,IF(N13="Good",12%,IF(N13="Average",10%,"Not applicable")))</f>
        <v/>
      </c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</row>
    <row r="14" ht="18.75" customHeight="1" s="23">
      <c r="A14" s="17" t="inlineStr">
        <is>
          <t>EMP-95546</t>
        </is>
      </c>
      <c r="B14" s="17" t="inlineStr">
        <is>
          <t>RITESH</t>
        </is>
      </c>
      <c r="C14" s="17" t="inlineStr">
        <is>
          <t>ASHISH</t>
        </is>
      </c>
      <c r="D14" s="17" t="inlineStr">
        <is>
          <t>GARUD</t>
        </is>
      </c>
      <c r="E14" s="18" t="n">
        <v>30811</v>
      </c>
      <c r="F14" s="18" t="n">
        <v>40944</v>
      </c>
      <c r="G14" s="17" t="n">
        <v>6</v>
      </c>
      <c r="H14" s="17" t="inlineStr">
        <is>
          <t>Loc-1005</t>
        </is>
      </c>
      <c r="I14" s="17" t="inlineStr">
        <is>
          <t>CHENNAI</t>
        </is>
      </c>
      <c r="J14" s="17" t="inlineStr">
        <is>
          <t>79292936xx</t>
        </is>
      </c>
      <c r="K14" s="17" t="inlineStr">
        <is>
          <t>Dept-104</t>
        </is>
      </c>
      <c r="L14" s="17" t="inlineStr">
        <is>
          <t>MARKETING</t>
        </is>
      </c>
      <c r="M14" s="17" t="inlineStr">
        <is>
          <t>Msc</t>
        </is>
      </c>
      <c r="N14" s="17" t="inlineStr">
        <is>
          <t>Average</t>
        </is>
      </c>
      <c r="O14" s="17" t="inlineStr">
        <is>
          <t>Male</t>
        </is>
      </c>
      <c r="P14" s="19" t="n">
        <v>147340.53</v>
      </c>
      <c r="Q14" s="17">
        <f>IF(N14="Very Poor","Terminate","")</f>
        <v/>
      </c>
      <c r="R14" s="20">
        <f>IF(N14="Very Good",P14*5%,0)</f>
        <v/>
      </c>
      <c r="S14" s="17">
        <f>IF(P14&lt;40000,"Low",IF(AND(P14&gt;=41000,P14&lt;=80000),"Mid",IF(P14&gt;80000,"High","")))</f>
        <v/>
      </c>
      <c r="T14" s="17">
        <f>IF(AND(L14="HR",I14="MUMBAI"),"Yes","No")</f>
        <v/>
      </c>
      <c r="U14" s="17">
        <f>IF(OR(L14="HR",L14="FINANCE"),"Yes","No")</f>
        <v/>
      </c>
      <c r="V14" s="21">
        <f>IF(N14="Very Good",15%,IF(N14="Good",12%,IF(N14="Average",10%,"Not applicable")))</f>
        <v/>
      </c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</row>
    <row r="15" ht="18.75" customHeight="1" s="23">
      <c r="A15" s="17" t="inlineStr">
        <is>
          <t>EMP-95508</t>
        </is>
      </c>
      <c r="B15" s="17" t="inlineStr">
        <is>
          <t>PRIYANKA</t>
        </is>
      </c>
      <c r="C15" s="17" t="inlineStr">
        <is>
          <t>ASHOK</t>
        </is>
      </c>
      <c r="D15" s="17" t="inlineStr">
        <is>
          <t>DESHPANDE</t>
        </is>
      </c>
      <c r="E15" s="18" t="n">
        <v>30811</v>
      </c>
      <c r="F15" s="18" t="n">
        <v>40913</v>
      </c>
      <c r="G15" s="17" t="n">
        <v>7</v>
      </c>
      <c r="H15" s="17" t="inlineStr">
        <is>
          <t>Loc-1004</t>
        </is>
      </c>
      <c r="I15" s="17" t="inlineStr">
        <is>
          <t>MUMBAI</t>
        </is>
      </c>
      <c r="J15" s="17" t="inlineStr">
        <is>
          <t>79301847xx</t>
        </is>
      </c>
      <c r="K15" s="17" t="inlineStr">
        <is>
          <t>Dept-101</t>
        </is>
      </c>
      <c r="L15" s="17" t="inlineStr">
        <is>
          <t>PRODUCTION</t>
        </is>
      </c>
      <c r="M15" s="17" t="inlineStr">
        <is>
          <t>CS</t>
        </is>
      </c>
      <c r="N15" s="17" t="inlineStr">
        <is>
          <t>Very Poor</t>
        </is>
      </c>
      <c r="O15" s="17" t="inlineStr">
        <is>
          <t>Female</t>
        </is>
      </c>
      <c r="P15" s="19" t="n">
        <v>109783.62</v>
      </c>
      <c r="Q15" s="17">
        <f>IF(N15="Very Poor","Terminate","")</f>
        <v/>
      </c>
      <c r="R15" s="20">
        <f>IF(N15="Very Good",P15*5%,0)</f>
        <v/>
      </c>
      <c r="S15" s="17">
        <f>IF(P15&lt;40000,"Low",IF(AND(P15&gt;=41000,P15&lt;=80000),"Mid",IF(P15&gt;80000,"High","")))</f>
        <v/>
      </c>
      <c r="T15" s="17">
        <f>IF(AND(L15="HR",I15="MUMBAI"),"Yes","No")</f>
        <v/>
      </c>
      <c r="U15" s="17">
        <f>IF(OR(L15="HR",L15="FINANCE"),"Yes","No")</f>
        <v/>
      </c>
      <c r="V15" s="21">
        <f>IF(N15="Very Good",15%,IF(N15="Good",12%,IF(N15="Average",10%,"Not applicable")))</f>
        <v/>
      </c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</row>
    <row r="16" ht="18.75" customHeight="1" s="23">
      <c r="A16" s="17" t="inlineStr">
        <is>
          <t>EMP-95547</t>
        </is>
      </c>
      <c r="B16" s="17" t="inlineStr">
        <is>
          <t>PRIYANKA</t>
        </is>
      </c>
      <c r="C16" s="17" t="inlineStr">
        <is>
          <t>ASHOK</t>
        </is>
      </c>
      <c r="D16" s="17" t="inlineStr">
        <is>
          <t>MITTAL</t>
        </is>
      </c>
      <c r="E16" s="18" t="n">
        <v>32242</v>
      </c>
      <c r="F16" s="18" t="n">
        <v>40882</v>
      </c>
      <c r="G16" s="17" t="n">
        <v>8</v>
      </c>
      <c r="H16" s="17" t="inlineStr">
        <is>
          <t>Loc-1005</t>
        </is>
      </c>
      <c r="I16" s="17" t="inlineStr">
        <is>
          <t>CHENNAI</t>
        </is>
      </c>
      <c r="J16" s="17" t="inlineStr">
        <is>
          <t>79310758xx</t>
        </is>
      </c>
      <c r="K16" s="17" t="inlineStr">
        <is>
          <t>Dept-104</t>
        </is>
      </c>
      <c r="L16" s="17" t="inlineStr">
        <is>
          <t>MARKETING</t>
        </is>
      </c>
      <c r="M16" s="17" t="inlineStr">
        <is>
          <t>ICWA</t>
        </is>
      </c>
      <c r="N16" s="17" t="inlineStr">
        <is>
          <t>Very Poor</t>
        </is>
      </c>
      <c r="O16" s="17" t="inlineStr">
        <is>
          <t>Female</t>
        </is>
      </c>
      <c r="P16" s="19" t="n">
        <v>132026.76</v>
      </c>
      <c r="Q16" s="17">
        <f>IF(N16="Very Poor","Terminate","")</f>
        <v/>
      </c>
      <c r="R16" s="20">
        <f>IF(N16="Very Good",P16*5%,0)</f>
        <v/>
      </c>
      <c r="S16" s="17">
        <f>IF(P16&lt;40000,"Low",IF(AND(P16&gt;=41000,P16&lt;=80000),"Mid",IF(P16&gt;80000,"High","")))</f>
        <v/>
      </c>
      <c r="T16" s="17">
        <f>IF(AND(L16="HR",I16="MUMBAI"),"Yes","No")</f>
        <v/>
      </c>
      <c r="U16" s="17">
        <f>IF(OR(L16="HR",L16="FINANCE"),"Yes","No")</f>
        <v/>
      </c>
      <c r="V16" s="21">
        <f>IF(N16="Very Good",15%,IF(N16="Good",12%,IF(N16="Average",10%,"Not applicable")))</f>
        <v/>
      </c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</row>
    <row r="17" ht="18.75" customHeight="1" s="23">
      <c r="A17" s="17" t="inlineStr">
        <is>
          <t>EMP-95445</t>
        </is>
      </c>
      <c r="B17" s="17" t="inlineStr">
        <is>
          <t>PRIYANKA</t>
        </is>
      </c>
      <c r="C17" s="17" t="inlineStr">
        <is>
          <t>ASHOK</t>
        </is>
      </c>
      <c r="D17" s="17" t="inlineStr">
        <is>
          <t>YEOLE</t>
        </is>
      </c>
      <c r="E17" s="18" t="n">
        <v>32242</v>
      </c>
      <c r="F17" s="18" t="n">
        <v>40852</v>
      </c>
      <c r="G17" s="17" t="n">
        <v>5</v>
      </c>
      <c r="H17" s="17" t="inlineStr">
        <is>
          <t>Loc-1001</t>
        </is>
      </c>
      <c r="I17" s="17" t="inlineStr">
        <is>
          <t>DELHI</t>
        </is>
      </c>
      <c r="J17" s="17" t="inlineStr">
        <is>
          <t>79319668xx</t>
        </is>
      </c>
      <c r="K17" s="17" t="inlineStr">
        <is>
          <t>Dept-105</t>
        </is>
      </c>
      <c r="L17" s="17" t="inlineStr">
        <is>
          <t>ADMIN</t>
        </is>
      </c>
      <c r="M17" s="17" t="inlineStr">
        <is>
          <t>M.E</t>
        </is>
      </c>
      <c r="N17" s="17" t="inlineStr">
        <is>
          <t>Very Poor</t>
        </is>
      </c>
      <c r="O17" s="17" t="inlineStr">
        <is>
          <t>Female</t>
        </is>
      </c>
      <c r="P17" s="19" t="n">
        <v>96391.53</v>
      </c>
      <c r="Q17" s="17">
        <f>IF(N17="Very Poor","Terminate","")</f>
        <v/>
      </c>
      <c r="R17" s="20">
        <f>IF(N17="Very Good",P17*5%,0)</f>
        <v/>
      </c>
      <c r="S17" s="17">
        <f>IF(P17&lt;40000,"Low",IF(AND(P17&gt;=41000,P17&lt;=80000),"Mid",IF(P17&gt;80000,"High","")))</f>
        <v/>
      </c>
      <c r="T17" s="17">
        <f>IF(AND(L17="HR",I17="MUMBAI"),"Yes","No")</f>
        <v/>
      </c>
      <c r="U17" s="17">
        <f>IF(OR(L17="HR",L17="FINANCE"),"Yes","No")</f>
        <v/>
      </c>
      <c r="V17" s="21">
        <f>IF(N17="Very Good",15%,IF(N17="Good",12%,IF(N17="Average",10%,"Not applicable")))</f>
        <v/>
      </c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</row>
    <row r="18" ht="18.75" customHeight="1" s="23">
      <c r="A18" s="17" t="inlineStr">
        <is>
          <t>EMP-95463</t>
        </is>
      </c>
      <c r="B18" s="17" t="inlineStr">
        <is>
          <t>PRIYANKA</t>
        </is>
      </c>
      <c r="C18" s="17" t="inlineStr">
        <is>
          <t>ATULKUMAR</t>
        </is>
      </c>
      <c r="D18" s="17" t="inlineStr">
        <is>
          <t>WAJE</t>
        </is>
      </c>
      <c r="E18" s="18" t="n">
        <v>32579</v>
      </c>
      <c r="F18" s="18" t="n">
        <v>40821</v>
      </c>
      <c r="G18" s="17" t="n">
        <v>6</v>
      </c>
      <c r="H18" s="17" t="inlineStr">
        <is>
          <t>Loc-1002</t>
        </is>
      </c>
      <c r="I18" s="17" t="inlineStr">
        <is>
          <t>BANGALORE</t>
        </is>
      </c>
      <c r="J18" s="17" t="inlineStr">
        <is>
          <t>79328579xx</t>
        </is>
      </c>
      <c r="K18" s="17" t="inlineStr">
        <is>
          <t>Dept-101</t>
        </is>
      </c>
      <c r="L18" s="17" t="inlineStr">
        <is>
          <t>PRODUCTION</t>
        </is>
      </c>
      <c r="M18" s="17" t="inlineStr">
        <is>
          <t>MBA</t>
        </is>
      </c>
      <c r="N18" s="17" t="inlineStr">
        <is>
          <t>Good</t>
        </is>
      </c>
      <c r="O18" s="17" t="inlineStr">
        <is>
          <t>Female</t>
        </is>
      </c>
      <c r="P18" s="19" t="n">
        <v>105615.9</v>
      </c>
      <c r="Q18" s="17">
        <f>IF(N18="Very Poor","Terminate","")</f>
        <v/>
      </c>
      <c r="R18" s="20">
        <f>IF(N18="Very Good",P18*5%,0)</f>
        <v/>
      </c>
      <c r="S18" s="17">
        <f>IF(P18&lt;40000,"Low",IF(AND(P18&gt;=41000,P18&lt;=80000),"Mid",IF(P18&gt;80000,"High","")))</f>
        <v/>
      </c>
      <c r="T18" s="17">
        <f>IF(AND(L18="HR",I18="MUMBAI"),"Yes","No")</f>
        <v/>
      </c>
      <c r="U18" s="17">
        <f>IF(OR(L18="HR",L18="FINANCE"),"Yes","No")</f>
        <v/>
      </c>
      <c r="V18" s="21">
        <f>IF(N18="Very Good",15%,IF(N18="Good",12%,IF(N18="Average",10%,"Not applicable")))</f>
        <v/>
      </c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 ht="18.75" customHeight="1" s="23">
      <c r="A19" s="17" t="inlineStr">
        <is>
          <t>EMP-95482</t>
        </is>
      </c>
      <c r="B19" s="17" t="inlineStr">
        <is>
          <t>PRATIKSHA</t>
        </is>
      </c>
      <c r="C19" s="17" t="inlineStr">
        <is>
          <t>AVINASH</t>
        </is>
      </c>
      <c r="D19" s="17" t="inlineStr">
        <is>
          <t>WABLE</t>
        </is>
      </c>
      <c r="E19" s="18" t="n">
        <v>32604</v>
      </c>
      <c r="F19" s="18" t="n">
        <v>40791</v>
      </c>
      <c r="G19" s="17" t="n">
        <v>7</v>
      </c>
      <c r="H19" s="17" t="inlineStr">
        <is>
          <t>Loc-1003</t>
        </is>
      </c>
      <c r="I19" s="17" t="inlineStr">
        <is>
          <t>NAGPUR</t>
        </is>
      </c>
      <c r="J19" s="17" t="inlineStr">
        <is>
          <t>79337490xx</t>
        </is>
      </c>
      <c r="K19" s="17" t="inlineStr">
        <is>
          <t>Dept-102</t>
        </is>
      </c>
      <c r="L19" s="17" t="inlineStr">
        <is>
          <t>HR</t>
        </is>
      </c>
      <c r="M19" s="17" t="inlineStr">
        <is>
          <t>MBA</t>
        </is>
      </c>
      <c r="N19" s="17" t="inlineStr">
        <is>
          <t>Very Good</t>
        </is>
      </c>
      <c r="O19" s="17" t="inlineStr">
        <is>
          <t>Female</t>
        </is>
      </c>
      <c r="P19" s="19" t="n">
        <v>115641.99</v>
      </c>
      <c r="Q19" s="17">
        <f>IF(N19="Very Poor","Terminate","")</f>
        <v/>
      </c>
      <c r="R19" s="20">
        <f>IF(N19="Very Good",P19*5%,0)</f>
        <v/>
      </c>
      <c r="S19" s="17">
        <f>IF(P19&lt;40000,"Low",IF(AND(P19&gt;=41000,P19&lt;=80000),"Mid",IF(P19&gt;80000,"High","")))</f>
        <v/>
      </c>
      <c r="T19" s="17">
        <f>IF(AND(L19="HR",I19="MUMBAI"),"Yes","No")</f>
        <v/>
      </c>
      <c r="U19" s="17">
        <f>IF(OR(L19="HR",L19="FINANCE"),"Yes","No")</f>
        <v/>
      </c>
      <c r="V19" s="21">
        <f>IF(N19="Very Good",15%,IF(N19="Good",12%,IF(N19="Average",10%,"Not applicable")))</f>
        <v/>
      </c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</row>
    <row r="20" ht="18.75" customHeight="1" s="23">
      <c r="A20" s="17" t="inlineStr">
        <is>
          <t>EMP-95509</t>
        </is>
      </c>
      <c r="B20" s="17" t="inlineStr">
        <is>
          <t>PRATIK</t>
        </is>
      </c>
      <c r="C20" s="17" t="inlineStr">
        <is>
          <t>BAJRANG</t>
        </is>
      </c>
      <c r="D20" s="17" t="inlineStr">
        <is>
          <t>VARMA</t>
        </is>
      </c>
      <c r="E20" s="18" t="n">
        <v>32604</v>
      </c>
      <c r="F20" s="18" t="n">
        <v>40760</v>
      </c>
      <c r="G20" s="17" t="n">
        <v>8</v>
      </c>
      <c r="H20" s="17" t="inlineStr">
        <is>
          <t>Loc-1004</t>
        </is>
      </c>
      <c r="I20" s="17" t="inlineStr">
        <is>
          <t>MUMBAI</t>
        </is>
      </c>
      <c r="J20" s="17" t="inlineStr">
        <is>
          <t>79346401xx</t>
        </is>
      </c>
      <c r="K20" s="17" t="inlineStr">
        <is>
          <t>Dept-105</t>
        </is>
      </c>
      <c r="L20" s="17" t="inlineStr">
        <is>
          <t>ADMIN</t>
        </is>
      </c>
      <c r="M20" s="17" t="inlineStr">
        <is>
          <t>BCA</t>
        </is>
      </c>
      <c r="N20" s="17" t="inlineStr">
        <is>
          <t>Very Poor</t>
        </is>
      </c>
      <c r="O20" s="17" t="inlineStr">
        <is>
          <t>Male</t>
        </is>
      </c>
      <c r="P20" s="19" t="n">
        <v>24798.24</v>
      </c>
      <c r="Q20" s="17">
        <f>IF(N20="Very Poor","Terminate","")</f>
        <v/>
      </c>
      <c r="R20" s="20">
        <f>IF(N20="Very Good",P20*5%,0)</f>
        <v/>
      </c>
      <c r="S20" s="17">
        <f>IF(P20&lt;40000,"Low",IF(AND(P20&gt;=41000,P20&lt;=80000),"Mid",IF(P20&gt;80000,"High","")))</f>
        <v/>
      </c>
      <c r="T20" s="17">
        <f>IF(AND(L20="HR",I20="MUMBAI"),"Yes","No")</f>
        <v/>
      </c>
      <c r="U20" s="17">
        <f>IF(OR(L20="HR",L20="FINANCE"),"Yes","No")</f>
        <v/>
      </c>
      <c r="V20" s="21">
        <f>IF(N20="Very Good",15%,IF(N20="Good",12%,IF(N20="Average",10%,"Not applicable")))</f>
        <v/>
      </c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</row>
    <row r="21" ht="18.75" customHeight="1" s="23">
      <c r="A21" s="17" t="inlineStr">
        <is>
          <t>EMP-95446</t>
        </is>
      </c>
      <c r="B21" s="17" t="inlineStr">
        <is>
          <t>POONAM</t>
        </is>
      </c>
      <c r="C21" s="17" t="inlineStr">
        <is>
          <t>BALAPRASAD</t>
        </is>
      </c>
      <c r="D21" s="17" t="inlineStr">
        <is>
          <t>VARMA</t>
        </is>
      </c>
      <c r="E21" s="18" t="n">
        <v>32634</v>
      </c>
      <c r="F21" s="18" t="n">
        <v>40729</v>
      </c>
      <c r="G21" s="17" t="n">
        <v>6</v>
      </c>
      <c r="H21" s="17" t="inlineStr">
        <is>
          <t>Loc-1001</t>
        </is>
      </c>
      <c r="I21" s="17" t="inlineStr">
        <is>
          <t>DELHI</t>
        </is>
      </c>
      <c r="J21" s="17" t="inlineStr">
        <is>
          <t>79355312xx</t>
        </is>
      </c>
      <c r="K21" s="17" t="inlineStr">
        <is>
          <t>Dept-103</t>
        </is>
      </c>
      <c r="L21" s="17" t="inlineStr">
        <is>
          <t>FINANCE</t>
        </is>
      </c>
      <c r="M21" s="17" t="inlineStr">
        <is>
          <t>PGDBM</t>
        </is>
      </c>
      <c r="N21" s="17" t="inlineStr">
        <is>
          <t>Good</t>
        </is>
      </c>
      <c r="O21" s="17" t="inlineStr">
        <is>
          <t>Female</t>
        </is>
      </c>
      <c r="P21" s="19" t="n">
        <v>142049.79</v>
      </c>
      <c r="Q21" s="17">
        <f>IF(N21="Very Poor","Terminate","")</f>
        <v/>
      </c>
      <c r="R21" s="20">
        <f>IF(N21="Very Good",P21*5%,0)</f>
        <v/>
      </c>
      <c r="S21" s="17">
        <f>IF(P21&lt;40000,"Low",IF(AND(P21&gt;=41000,P21&lt;=80000),"Mid",IF(P21&gt;80000,"High","")))</f>
        <v/>
      </c>
      <c r="T21" s="17">
        <f>IF(AND(L21="HR",I21="MUMBAI"),"Yes","No")</f>
        <v/>
      </c>
      <c r="U21" s="17">
        <f>IF(OR(L21="HR",L21="FINANCE"),"Yes","No")</f>
        <v/>
      </c>
      <c r="V21" s="21">
        <f>IF(N21="Very Good",15%,IF(N21="Good",12%,IF(N21="Average",10%,"Not applicable")))</f>
        <v/>
      </c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</row>
    <row r="22" ht="18.75" customHeight="1" s="23">
      <c r="A22" s="17" t="inlineStr">
        <is>
          <t>EMP-95464</t>
        </is>
      </c>
      <c r="B22" s="17" t="inlineStr">
        <is>
          <t>OMKAR</t>
        </is>
      </c>
      <c r="C22" s="17" t="inlineStr">
        <is>
          <t>BASAPPA</t>
        </is>
      </c>
      <c r="D22" s="17" t="inlineStr">
        <is>
          <t>VARAK</t>
        </is>
      </c>
      <c r="E22" s="18" t="n">
        <v>32665</v>
      </c>
      <c r="F22" s="18" t="n">
        <v>40699</v>
      </c>
      <c r="G22" s="17" t="n">
        <v>7</v>
      </c>
      <c r="H22" s="17" t="inlineStr">
        <is>
          <t>Loc-1002</t>
        </is>
      </c>
      <c r="I22" s="17" t="inlineStr">
        <is>
          <t>BANGALORE</t>
        </is>
      </c>
      <c r="J22" s="17" t="inlineStr">
        <is>
          <t>79364223xx</t>
        </is>
      </c>
      <c r="K22" s="17" t="inlineStr">
        <is>
          <t>Dept-101</t>
        </is>
      </c>
      <c r="L22" s="17" t="inlineStr">
        <is>
          <t>PRODUCTION</t>
        </is>
      </c>
      <c r="M22" s="17" t="inlineStr">
        <is>
          <t>BBM</t>
        </is>
      </c>
      <c r="N22" s="17" t="inlineStr">
        <is>
          <t>Poor</t>
        </is>
      </c>
      <c r="O22" s="17" t="inlineStr">
        <is>
          <t>Male</t>
        </is>
      </c>
      <c r="P22" s="19" t="n">
        <v>140753.88</v>
      </c>
      <c r="Q22" s="17">
        <f>IF(N22="Very Poor","Terminate","")</f>
        <v/>
      </c>
      <c r="R22" s="20">
        <f>IF(N22="Very Good",P22*5%,0)</f>
        <v/>
      </c>
      <c r="S22" s="17">
        <f>IF(P22&lt;40000,"Low",IF(AND(P22&gt;=41000,P22&lt;=80000),"Mid",IF(P22&gt;80000,"High","")))</f>
        <v/>
      </c>
      <c r="T22" s="17">
        <f>IF(AND(L22="HR",I22="MUMBAI"),"Yes","No")</f>
        <v/>
      </c>
      <c r="U22" s="17">
        <f>IF(OR(L22="HR",L22="FINANCE"),"Yes","No")</f>
        <v/>
      </c>
      <c r="V22" s="21">
        <f>IF(N22="Very Good",15%,IF(N22="Good",12%,IF(N22="Average",10%,"Not applicable")))</f>
        <v/>
      </c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</row>
    <row r="23" ht="18.75" customHeight="1" s="23">
      <c r="A23" s="17" t="inlineStr">
        <is>
          <t>EMP-95483</t>
        </is>
      </c>
      <c r="B23" s="17" t="inlineStr">
        <is>
          <t>NIDHISH</t>
        </is>
      </c>
      <c r="C23" s="17" t="inlineStr">
        <is>
          <t>BHAGWANDAS</t>
        </is>
      </c>
      <c r="D23" s="17" t="inlineStr">
        <is>
          <t>UNECHA</t>
        </is>
      </c>
      <c r="E23" s="18" t="n">
        <v>32695</v>
      </c>
      <c r="F23" s="18" t="n">
        <v>40668</v>
      </c>
      <c r="G23" s="17" t="n">
        <v>8</v>
      </c>
      <c r="H23" s="17" t="inlineStr">
        <is>
          <t>Loc-1003</t>
        </is>
      </c>
      <c r="I23" s="17" t="inlineStr">
        <is>
          <t>NAGPUR</t>
        </is>
      </c>
      <c r="J23" s="17" t="inlineStr">
        <is>
          <t>79373134xx</t>
        </is>
      </c>
      <c r="K23" s="17" t="inlineStr">
        <is>
          <t>Dept-101</t>
        </is>
      </c>
      <c r="L23" s="17" t="inlineStr">
        <is>
          <t>PRODUCTION</t>
        </is>
      </c>
      <c r="M23" s="17" t="inlineStr">
        <is>
          <t>CA</t>
        </is>
      </c>
      <c r="N23" s="17" t="inlineStr">
        <is>
          <t>Not Rated</t>
        </is>
      </c>
      <c r="O23" s="17" t="inlineStr">
        <is>
          <t>Male</t>
        </is>
      </c>
      <c r="P23" s="19" t="n">
        <v>101272.23</v>
      </c>
      <c r="Q23" s="17">
        <f>IF(N23="Very Poor","Terminate","")</f>
        <v/>
      </c>
      <c r="R23" s="20">
        <f>IF(N23="Very Good",P23*5%,0)</f>
        <v/>
      </c>
      <c r="S23" s="17">
        <f>IF(P23&lt;40000,"Low",IF(AND(P23&gt;=41000,P23&lt;=80000),"Mid",IF(P23&gt;80000,"High","")))</f>
        <v/>
      </c>
      <c r="T23" s="17">
        <f>IF(AND(L23="HR",I23="MUMBAI"),"Yes","No")</f>
        <v/>
      </c>
      <c r="U23" s="17">
        <f>IF(OR(L23="HR",L23="FINANCE"),"Yes","No")</f>
        <v/>
      </c>
      <c r="V23" s="21">
        <f>IF(N23="Very Good",15%,IF(N23="Good",12%,IF(N23="Average",10%,"Not applicable")))</f>
        <v/>
      </c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</row>
    <row r="24" ht="18.75" customHeight="1" s="23">
      <c r="A24" s="17" t="inlineStr">
        <is>
          <t>EMP-95510</t>
        </is>
      </c>
      <c r="B24" s="17" t="inlineStr">
        <is>
          <t>MAYUR</t>
        </is>
      </c>
      <c r="C24" s="17" t="inlineStr">
        <is>
          <t>BHANDARI</t>
        </is>
      </c>
      <c r="D24" s="17" t="inlineStr">
        <is>
          <t>UNAWANE</t>
        </is>
      </c>
      <c r="E24" s="18" t="n">
        <v>32726</v>
      </c>
      <c r="F24" s="18" t="n">
        <v>40638</v>
      </c>
      <c r="G24" s="17" t="n">
        <v>5</v>
      </c>
      <c r="H24" s="17" t="inlineStr">
        <is>
          <t>Loc-1004</t>
        </is>
      </c>
      <c r="I24" s="17" t="inlineStr">
        <is>
          <t>MUMBAI</t>
        </is>
      </c>
      <c r="J24" s="17" t="inlineStr">
        <is>
          <t>79382045xx</t>
        </is>
      </c>
      <c r="K24" s="17" t="inlineStr">
        <is>
          <t>Dept-101</t>
        </is>
      </c>
      <c r="L24" s="17" t="inlineStr">
        <is>
          <t>PRODUCTION</t>
        </is>
      </c>
      <c r="M24" s="17" t="inlineStr">
        <is>
          <t>CS</t>
        </is>
      </c>
      <c r="N24" s="17" t="inlineStr">
        <is>
          <t>Very Poor</t>
        </is>
      </c>
      <c r="O24" s="17" t="inlineStr">
        <is>
          <t>Male</t>
        </is>
      </c>
      <c r="P24" s="19" t="n">
        <v>134451.81</v>
      </c>
      <c r="Q24" s="17">
        <f>IF(N24="Very Poor","Terminate","")</f>
        <v/>
      </c>
      <c r="R24" s="20">
        <f>IF(N24="Very Good",P24*5%,0)</f>
        <v/>
      </c>
      <c r="S24" s="17">
        <f>IF(P24&lt;40000,"Low",IF(AND(P24&gt;=41000,P24&lt;=80000),"Mid",IF(P24&gt;80000,"High","")))</f>
        <v/>
      </c>
      <c r="T24" s="17">
        <f>IF(AND(L24="HR",I24="MUMBAI"),"Yes","No")</f>
        <v/>
      </c>
      <c r="U24" s="17">
        <f>IF(OR(L24="HR",L24="FINANCE"),"Yes","No")</f>
        <v/>
      </c>
      <c r="V24" s="21">
        <f>IF(N24="Very Good",15%,IF(N24="Good",12%,IF(N24="Average",10%,"Not applicable")))</f>
        <v/>
      </c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</row>
    <row r="25" ht="18.75" customHeight="1" s="23">
      <c r="A25" s="17" t="inlineStr">
        <is>
          <t>EMP-95548</t>
        </is>
      </c>
      <c r="B25" s="17" t="inlineStr">
        <is>
          <t>MAYUR</t>
        </is>
      </c>
      <c r="C25" s="17" t="inlineStr">
        <is>
          <t>BHAUSAHEB</t>
        </is>
      </c>
      <c r="D25" s="17" t="inlineStr">
        <is>
          <t>TAPDIYA</t>
        </is>
      </c>
      <c r="E25" s="18" t="n">
        <v>32757</v>
      </c>
      <c r="F25" s="18" t="n">
        <v>40607</v>
      </c>
      <c r="G25" s="17" t="n">
        <v>6</v>
      </c>
      <c r="H25" s="17" t="inlineStr">
        <is>
          <t>Loc-1005</t>
        </is>
      </c>
      <c r="I25" s="17" t="inlineStr">
        <is>
          <t>CHENNAI</t>
        </is>
      </c>
      <c r="J25" s="17" t="inlineStr">
        <is>
          <t>79390956xx</t>
        </is>
      </c>
      <c r="K25" s="17" t="inlineStr">
        <is>
          <t>Dept-105</t>
        </is>
      </c>
      <c r="L25" s="17" t="inlineStr">
        <is>
          <t>ADMIN</t>
        </is>
      </c>
      <c r="M25" s="17" t="inlineStr">
        <is>
          <t>MBA</t>
        </is>
      </c>
      <c r="N25" s="17" t="inlineStr">
        <is>
          <t>Good</t>
        </is>
      </c>
      <c r="O25" s="17" t="inlineStr">
        <is>
          <t>Male</t>
        </is>
      </c>
      <c r="P25" s="19" t="n">
        <v>20358.18</v>
      </c>
      <c r="Q25" s="17">
        <f>IF(N25="Very Poor","Terminate","")</f>
        <v/>
      </c>
      <c r="R25" s="20">
        <f>IF(N25="Very Good",P25*5%,0)</f>
        <v/>
      </c>
      <c r="S25" s="17">
        <f>IF(P25&lt;40000,"Low",IF(AND(P25&gt;=41000,P25&lt;=80000),"Mid",IF(P25&gt;80000,"High","")))</f>
        <v/>
      </c>
      <c r="T25" s="17">
        <f>IF(AND(L25="HR",I25="MUMBAI"),"Yes","No")</f>
        <v/>
      </c>
      <c r="U25" s="17">
        <f>IF(OR(L25="HR",L25="FINANCE"),"Yes","No")</f>
        <v/>
      </c>
      <c r="V25" s="21">
        <f>IF(N25="Very Good",15%,IF(N25="Good",12%,IF(N25="Average",10%,"Not applicable")))</f>
        <v/>
      </c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</row>
    <row r="26" ht="18.75" customHeight="1" s="23">
      <c r="A26" s="17" t="inlineStr">
        <is>
          <t>EMP-95578</t>
        </is>
      </c>
      <c r="B26" s="17" t="inlineStr">
        <is>
          <t>JUGAL</t>
        </is>
      </c>
      <c r="C26" s="17" t="inlineStr">
        <is>
          <t>BHUSHAN</t>
        </is>
      </c>
      <c r="D26" s="17" t="inlineStr">
        <is>
          <t>TAMBE</t>
        </is>
      </c>
      <c r="E26" s="18" t="n">
        <v>32787</v>
      </c>
      <c r="F26" s="18" t="n">
        <v>40579</v>
      </c>
      <c r="G26" s="17" t="n">
        <v>7</v>
      </c>
      <c r="H26" s="17" t="inlineStr">
        <is>
          <t>Loc-1006</t>
        </is>
      </c>
      <c r="I26" s="17" t="inlineStr">
        <is>
          <t>PUNE</t>
        </is>
      </c>
      <c r="J26" s="17" t="inlineStr">
        <is>
          <t>79399867xx</t>
        </is>
      </c>
      <c r="K26" s="17" t="inlineStr">
        <is>
          <t>Dept-104</t>
        </is>
      </c>
      <c r="L26" s="17" t="inlineStr">
        <is>
          <t>MARKETING</t>
        </is>
      </c>
      <c r="M26" s="17" t="inlineStr">
        <is>
          <t>MBA</t>
        </is>
      </c>
      <c r="N26" s="17" t="inlineStr">
        <is>
          <t>Poor</t>
        </is>
      </c>
      <c r="O26" s="17" t="inlineStr">
        <is>
          <t>Male</t>
        </is>
      </c>
      <c r="P26" s="19" t="n">
        <v>22795.47</v>
      </c>
      <c r="Q26" s="17">
        <f>IF(N26="Very Poor","Terminate","")</f>
        <v/>
      </c>
      <c r="R26" s="20">
        <f>IF(N26="Very Good",P26*5%,0)</f>
        <v/>
      </c>
      <c r="S26" s="17">
        <f>IF(P26&lt;40000,"Low",IF(AND(P26&gt;=41000,P26&lt;=80000),"Mid",IF(P26&gt;80000,"High","")))</f>
        <v/>
      </c>
      <c r="T26" s="17">
        <f>IF(AND(L26="HR",I26="MUMBAI"),"Yes","No")</f>
        <v/>
      </c>
      <c r="U26" s="17">
        <f>IF(OR(L26="HR",L26="FINANCE"),"Yes","No")</f>
        <v/>
      </c>
      <c r="V26" s="21">
        <f>IF(N26="Very Good",15%,IF(N26="Good",12%,IF(N26="Average",10%,"Not applicable")))</f>
        <v/>
      </c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</row>
    <row r="27" ht="18.75" customHeight="1" s="23">
      <c r="A27" s="17" t="inlineStr">
        <is>
          <t>EMP-95549</t>
        </is>
      </c>
      <c r="B27" s="17" t="inlineStr">
        <is>
          <t>JEENAL</t>
        </is>
      </c>
      <c r="C27" s="17" t="inlineStr">
        <is>
          <t>CHADRAKANT</t>
        </is>
      </c>
      <c r="D27" s="17" t="inlineStr">
        <is>
          <t>SUDAME</t>
        </is>
      </c>
      <c r="E27" s="18" t="n">
        <v>32818</v>
      </c>
      <c r="F27" s="18" t="n">
        <v>41644</v>
      </c>
      <c r="G27" s="17" t="n">
        <v>8</v>
      </c>
      <c r="H27" s="17" t="inlineStr">
        <is>
          <t>Loc-1005</t>
        </is>
      </c>
      <c r="I27" s="17" t="inlineStr">
        <is>
          <t>CHENNAI</t>
        </is>
      </c>
      <c r="J27" s="17" t="inlineStr">
        <is>
          <t>79408777xx</t>
        </is>
      </c>
      <c r="K27" s="17" t="inlineStr">
        <is>
          <t>Dept-105</t>
        </is>
      </c>
      <c r="L27" s="17" t="inlineStr">
        <is>
          <t>ADMIN</t>
        </is>
      </c>
      <c r="M27" s="17" t="inlineStr">
        <is>
          <t>PGDBM</t>
        </is>
      </c>
      <c r="N27" s="17" t="inlineStr">
        <is>
          <t>Good</t>
        </is>
      </c>
      <c r="O27" s="17" t="inlineStr">
        <is>
          <t>Female</t>
        </is>
      </c>
      <c r="P27" s="19" t="n">
        <v>24128.1</v>
      </c>
      <c r="Q27" s="17">
        <f>IF(N27="Very Poor","Terminate","")</f>
        <v/>
      </c>
      <c r="R27" s="20">
        <f>IF(N27="Very Good",P27*5%,0)</f>
        <v/>
      </c>
      <c r="S27" s="17">
        <f>IF(P27&lt;40000,"Low",IF(AND(P27&gt;=41000,P27&lt;=80000),"Mid",IF(P27&gt;80000,"High","")))</f>
        <v/>
      </c>
      <c r="T27" s="17">
        <f>IF(AND(L27="HR",I27="MUMBAI"),"Yes","No")</f>
        <v/>
      </c>
      <c r="U27" s="17">
        <f>IF(OR(L27="HR",L27="FINANCE"),"Yes","No")</f>
        <v/>
      </c>
      <c r="V27" s="21">
        <f>IF(N27="Very Good",15%,IF(N27="Good",12%,IF(N27="Average",10%,"Not applicable")))</f>
        <v/>
      </c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</row>
    <row r="28" ht="18.75" customHeight="1" s="23">
      <c r="A28" s="17" t="inlineStr">
        <is>
          <t>EMP-95579</t>
        </is>
      </c>
      <c r="B28" s="17" t="inlineStr">
        <is>
          <t>HRISHIKESH</t>
        </is>
      </c>
      <c r="C28" s="17" t="inlineStr">
        <is>
          <t>CHANDRASHEKHAR</t>
        </is>
      </c>
      <c r="D28" s="17" t="inlineStr">
        <is>
          <t>SHRISHRIMAL</t>
        </is>
      </c>
      <c r="E28" s="18" t="n">
        <v>32848</v>
      </c>
      <c r="F28" s="18" t="n">
        <v>41613</v>
      </c>
      <c r="G28" s="17" t="n">
        <v>6</v>
      </c>
      <c r="H28" s="17" t="inlineStr">
        <is>
          <t>Loc-1006</t>
        </is>
      </c>
      <c r="I28" s="17" t="inlineStr">
        <is>
          <t>PUNE</t>
        </is>
      </c>
      <c r="J28" s="17" t="inlineStr">
        <is>
          <t>79417688xx</t>
        </is>
      </c>
      <c r="K28" s="17" t="inlineStr">
        <is>
          <t>Dept-105</t>
        </is>
      </c>
      <c r="L28" s="17" t="inlineStr">
        <is>
          <t>ADMIN</t>
        </is>
      </c>
      <c r="M28" s="17" t="inlineStr">
        <is>
          <t>BCA</t>
        </is>
      </c>
      <c r="N28" s="17" t="inlineStr">
        <is>
          <t>Not Rated</t>
        </is>
      </c>
      <c r="O28" s="17" t="inlineStr">
        <is>
          <t>Male</t>
        </is>
      </c>
      <c r="P28" s="19" t="n">
        <v>35800.47</v>
      </c>
      <c r="Q28" s="17">
        <f>IF(N28="Very Poor","Terminate","")</f>
        <v/>
      </c>
      <c r="R28" s="20">
        <f>IF(N28="Very Good",P28*5%,0)</f>
        <v/>
      </c>
      <c r="S28" s="17">
        <f>IF(P28&lt;40000,"Low",IF(AND(P28&gt;=41000,P28&lt;=80000),"Mid",IF(P28&gt;80000,"High","")))</f>
        <v/>
      </c>
      <c r="T28" s="17">
        <f>IF(AND(L28="HR",I28="MUMBAI"),"Yes","No")</f>
        <v/>
      </c>
      <c r="U28" s="17">
        <f>IF(OR(L28="HR",L28="FINANCE"),"Yes","No")</f>
        <v/>
      </c>
      <c r="V28" s="21">
        <f>IF(N28="Very Good",15%,IF(N28="Good",12%,IF(N28="Average",10%,"Not applicable")))</f>
        <v/>
      </c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</row>
    <row r="29" ht="18.75" customHeight="1" s="23">
      <c r="A29" s="17" t="inlineStr">
        <is>
          <t>EMP-95550</t>
        </is>
      </c>
      <c r="B29" s="17" t="inlineStr">
        <is>
          <t>DIVYA</t>
        </is>
      </c>
      <c r="C29" s="17" t="inlineStr">
        <is>
          <t>DAS</t>
        </is>
      </c>
      <c r="D29" s="17" t="inlineStr">
        <is>
          <t>SHINDE</t>
        </is>
      </c>
      <c r="E29" s="18" t="n">
        <v>32854</v>
      </c>
      <c r="F29" s="18" t="n">
        <v>41583</v>
      </c>
      <c r="G29" s="17" t="n">
        <v>7</v>
      </c>
      <c r="H29" s="17" t="inlineStr">
        <is>
          <t>Loc-1005</t>
        </is>
      </c>
      <c r="I29" s="17" t="inlineStr">
        <is>
          <t>CHENNAI</t>
        </is>
      </c>
      <c r="J29" s="17" t="inlineStr">
        <is>
          <t>79426599xx</t>
        </is>
      </c>
      <c r="K29" s="17" t="inlineStr">
        <is>
          <t>Dept-105</t>
        </is>
      </c>
      <c r="L29" s="17" t="inlineStr">
        <is>
          <t>ADMIN</t>
        </is>
      </c>
      <c r="M29" s="17" t="inlineStr">
        <is>
          <t>PGDBM</t>
        </is>
      </c>
      <c r="N29" s="17" t="inlineStr">
        <is>
          <t>Poor</t>
        </is>
      </c>
      <c r="O29" s="17" t="inlineStr">
        <is>
          <t>Female</t>
        </is>
      </c>
      <c r="P29" s="19" t="n">
        <v>67127.22</v>
      </c>
      <c r="Q29" s="17">
        <f>IF(N29="Very Poor","Terminate","")</f>
        <v/>
      </c>
      <c r="R29" s="20">
        <f>IF(N29="Very Good",P29*5%,0)</f>
        <v/>
      </c>
      <c r="S29" s="17">
        <f>IF(P29&lt;40000,"Low",IF(AND(P29&gt;=41000,P29&lt;=80000),"Mid",IF(P29&gt;80000,"High","")))</f>
        <v/>
      </c>
      <c r="T29" s="17">
        <f>IF(AND(L29="HR",I29="MUMBAI"),"Yes","No")</f>
        <v/>
      </c>
      <c r="U29" s="17">
        <f>IF(OR(L29="HR",L29="FINANCE"),"Yes","No")</f>
        <v/>
      </c>
      <c r="V29" s="21">
        <f>IF(N29="Very Good",15%,IF(N29="Good",12%,IF(N29="Average",10%,"Not applicable")))</f>
        <v/>
      </c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</row>
    <row r="30" ht="18.75" customHeight="1" s="23">
      <c r="A30" s="17" t="inlineStr">
        <is>
          <t>EMP-95484</t>
        </is>
      </c>
      <c r="B30" s="17" t="inlineStr">
        <is>
          <t>CHETAN</t>
        </is>
      </c>
      <c r="C30" s="17" t="inlineStr">
        <is>
          <t>DASHRATH</t>
        </is>
      </c>
      <c r="D30" s="17" t="inlineStr">
        <is>
          <t>SHINDE</t>
        </is>
      </c>
      <c r="E30" s="18" t="n">
        <v>32879</v>
      </c>
      <c r="F30" s="18" t="n">
        <v>41552</v>
      </c>
      <c r="G30" s="17" t="n">
        <v>8</v>
      </c>
      <c r="H30" s="17" t="inlineStr">
        <is>
          <t>Loc-1003</t>
        </is>
      </c>
      <c r="I30" s="17" t="inlineStr">
        <is>
          <t>NAGPUR</t>
        </is>
      </c>
      <c r="J30" s="17" t="inlineStr">
        <is>
          <t>79435510xx</t>
        </is>
      </c>
      <c r="K30" s="17" t="inlineStr">
        <is>
          <t>Dept-102</t>
        </is>
      </c>
      <c r="L30" s="17" t="inlineStr">
        <is>
          <t>HR</t>
        </is>
      </c>
      <c r="M30" s="17" t="inlineStr">
        <is>
          <t>B.E</t>
        </is>
      </c>
      <c r="N30" s="17" t="inlineStr">
        <is>
          <t>Average</t>
        </is>
      </c>
      <c r="O30" s="17" t="inlineStr">
        <is>
          <t>Male</t>
        </is>
      </c>
      <c r="P30" s="19" t="n">
        <v>85392.36000000002</v>
      </c>
      <c r="Q30" s="17">
        <f>IF(N30="Very Poor","Terminate","")</f>
        <v/>
      </c>
      <c r="R30" s="20">
        <f>IF(N30="Very Good",P30*5%,0)</f>
        <v/>
      </c>
      <c r="S30" s="17">
        <f>IF(P30&lt;40000,"Low",IF(AND(P30&gt;=41000,P30&lt;=80000),"Mid",IF(P30&gt;80000,"High","")))</f>
        <v/>
      </c>
      <c r="T30" s="17">
        <f>IF(AND(L30="HR",I30="MUMBAI"),"Yes","No")</f>
        <v/>
      </c>
      <c r="U30" s="17">
        <f>IF(OR(L30="HR",L30="FINANCE"),"Yes","No")</f>
        <v/>
      </c>
      <c r="V30" s="21">
        <f>IF(N30="Very Good",15%,IF(N30="Good",12%,IF(N30="Average",10%,"Not applicable")))</f>
        <v/>
      </c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</row>
    <row r="31" ht="18.75" customHeight="1" s="23">
      <c r="A31" s="17" t="inlineStr">
        <is>
          <t>EMP-95511</t>
        </is>
      </c>
      <c r="B31" s="17" t="inlineStr">
        <is>
          <t>BHAKTI</t>
        </is>
      </c>
      <c r="C31" s="17" t="inlineStr">
        <is>
          <t>DATTATRAY</t>
        </is>
      </c>
      <c r="D31" s="17" t="inlineStr">
        <is>
          <t>SHINDE</t>
        </is>
      </c>
      <c r="E31" s="18" t="n">
        <v>32910</v>
      </c>
      <c r="F31" s="18" t="n">
        <v>41522</v>
      </c>
      <c r="G31" s="17" t="n">
        <v>5</v>
      </c>
      <c r="H31" s="17" t="inlineStr">
        <is>
          <t>Loc-1004</t>
        </is>
      </c>
      <c r="I31" s="17" t="inlineStr">
        <is>
          <t>MUMBAI</t>
        </is>
      </c>
      <c r="J31" s="17" t="inlineStr">
        <is>
          <t>79444421xx</t>
        </is>
      </c>
      <c r="K31" s="17" t="inlineStr">
        <is>
          <t>Dept-102</t>
        </is>
      </c>
      <c r="L31" s="17" t="inlineStr">
        <is>
          <t>HR</t>
        </is>
      </c>
      <c r="M31" s="17" t="inlineStr">
        <is>
          <t>PGDBM</t>
        </is>
      </c>
      <c r="N31" s="17" t="inlineStr">
        <is>
          <t>Poor</t>
        </is>
      </c>
      <c r="O31" s="17" t="inlineStr">
        <is>
          <t>Female</t>
        </is>
      </c>
      <c r="P31" s="19" t="n">
        <v>77160.95999999999</v>
      </c>
      <c r="Q31" s="17">
        <f>IF(N31="Very Poor","Terminate","")</f>
        <v/>
      </c>
      <c r="R31" s="20">
        <f>IF(N31="Very Good",P31*5%,0)</f>
        <v/>
      </c>
      <c r="S31" s="17">
        <f>IF(P31&lt;40000,"Low",IF(AND(P31&gt;=41000,P31&lt;=80000),"Mid",IF(P31&gt;80000,"High","")))</f>
        <v/>
      </c>
      <c r="T31" s="17">
        <f>IF(AND(L31="HR",I31="MUMBAI"),"Yes","No")</f>
        <v/>
      </c>
      <c r="U31" s="17">
        <f>IF(OR(L31="HR",L31="FINANCE"),"Yes","No")</f>
        <v/>
      </c>
      <c r="V31" s="21">
        <f>IF(N31="Very Good",15%,IF(N31="Good",12%,IF(N31="Average",10%,"Not applicable")))</f>
        <v/>
      </c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</row>
    <row r="32" ht="18.75" customHeight="1" s="23">
      <c r="A32" s="17" t="inlineStr">
        <is>
          <t>EMP-95465</t>
        </is>
      </c>
      <c r="B32" s="17" t="inlineStr">
        <is>
          <t>AYAJSAIYAD</t>
        </is>
      </c>
      <c r="C32" s="17" t="inlineStr">
        <is>
          <t>DEEPAK</t>
        </is>
      </c>
      <c r="D32" s="17" t="inlineStr">
        <is>
          <t>SHARMA</t>
        </is>
      </c>
      <c r="E32" s="18" t="n">
        <v>32969</v>
      </c>
      <c r="F32" s="18" t="n">
        <v>41460</v>
      </c>
      <c r="G32" s="17" t="n">
        <v>7</v>
      </c>
      <c r="H32" s="17" t="inlineStr">
        <is>
          <t>Loc-1002</t>
        </is>
      </c>
      <c r="I32" s="17" t="inlineStr">
        <is>
          <t>BANGALORE</t>
        </is>
      </c>
      <c r="J32" s="17" t="inlineStr">
        <is>
          <t>79462243xx</t>
        </is>
      </c>
      <c r="K32" s="17" t="inlineStr">
        <is>
          <t>Dept-104</t>
        </is>
      </c>
      <c r="L32" s="17" t="inlineStr">
        <is>
          <t>MARKETING</t>
        </is>
      </c>
      <c r="M32" s="17" t="inlineStr">
        <is>
          <t>CS</t>
        </is>
      </c>
      <c r="N32" s="17" t="inlineStr">
        <is>
          <t>Average</t>
        </is>
      </c>
      <c r="O32" s="17" t="inlineStr">
        <is>
          <t>Male</t>
        </is>
      </c>
      <c r="P32" s="19" t="n">
        <v>96504.75</v>
      </c>
      <c r="Q32" s="17">
        <f>IF(N32="Very Poor","Terminate","")</f>
        <v/>
      </c>
      <c r="R32" s="20">
        <f>IF(N32="Very Good",P32*5%,0)</f>
        <v/>
      </c>
      <c r="S32" s="17">
        <f>IF(P32&lt;40000,"Low",IF(AND(P32&gt;=41000,P32&lt;=80000),"Mid",IF(P32&gt;80000,"High","")))</f>
        <v/>
      </c>
      <c r="T32" s="17">
        <f>IF(AND(L32="HR",I32="MUMBAI"),"Yes","No")</f>
        <v/>
      </c>
      <c r="U32" s="17">
        <f>IF(OR(L32="HR",L32="FINANCE"),"Yes","No")</f>
        <v/>
      </c>
      <c r="V32" s="21">
        <f>IF(N32="Very Good",15%,IF(N32="Good",12%,IF(N32="Average",10%,"Not applicable")))</f>
        <v/>
      </c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</row>
    <row r="33" ht="18.75" customHeight="1" s="23">
      <c r="A33" s="17" t="inlineStr">
        <is>
          <t>EMP-95485</t>
        </is>
      </c>
      <c r="B33" s="17" t="inlineStr">
        <is>
          <t>ARJUN</t>
        </is>
      </c>
      <c r="C33" s="17" t="inlineStr">
        <is>
          <t>DEEPAK</t>
        </is>
      </c>
      <c r="D33" s="17" t="inlineStr">
        <is>
          <t>SHARMA</t>
        </is>
      </c>
      <c r="E33" s="18" t="n">
        <v>32999</v>
      </c>
      <c r="F33" s="18" t="n">
        <v>41430</v>
      </c>
      <c r="G33" s="17" t="n">
        <v>8</v>
      </c>
      <c r="H33" s="17" t="inlineStr">
        <is>
          <t>Loc-1003</t>
        </is>
      </c>
      <c r="I33" s="17" t="inlineStr">
        <is>
          <t>NAGPUR</t>
        </is>
      </c>
      <c r="J33" s="17" t="inlineStr">
        <is>
          <t>79471154xx</t>
        </is>
      </c>
      <c r="K33" s="17" t="inlineStr">
        <is>
          <t>Dept-102</t>
        </is>
      </c>
      <c r="L33" s="17" t="inlineStr">
        <is>
          <t>HR</t>
        </is>
      </c>
      <c r="M33" s="17" t="inlineStr">
        <is>
          <t>CS</t>
        </is>
      </c>
      <c r="N33" s="17" t="inlineStr">
        <is>
          <t>Very Good</t>
        </is>
      </c>
      <c r="O33" s="17" t="inlineStr">
        <is>
          <t>Male</t>
        </is>
      </c>
      <c r="P33" s="19" t="n">
        <v>37919.52</v>
      </c>
      <c r="Q33" s="17">
        <f>IF(N33="Very Poor","Terminate","")</f>
        <v/>
      </c>
      <c r="R33" s="20">
        <f>IF(N33="Very Good",P33*5%,0)</f>
        <v/>
      </c>
      <c r="S33" s="17">
        <f>IF(P33&lt;40000,"Low",IF(AND(P33&gt;=41000,P33&lt;=80000),"Mid",IF(P33&gt;80000,"High","")))</f>
        <v/>
      </c>
      <c r="T33" s="17">
        <f>IF(AND(L33="HR",I33="MUMBAI"),"Yes","No")</f>
        <v/>
      </c>
      <c r="U33" s="17">
        <f>IF(OR(L33="HR",L33="FINANCE"),"Yes","No")</f>
        <v/>
      </c>
      <c r="V33" s="21">
        <f>IF(N33="Very Good",15%,IF(N33="Good",12%,IF(N33="Average",10%,"Not applicable")))</f>
        <v/>
      </c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</row>
    <row r="34" ht="18.75" customHeight="1" s="23">
      <c r="A34" s="17" t="inlineStr">
        <is>
          <t>EMP-95447</t>
        </is>
      </c>
      <c r="B34" s="17" t="inlineStr">
        <is>
          <t>AYODHYA</t>
        </is>
      </c>
      <c r="C34" s="17" t="inlineStr">
        <is>
          <t>DEEPAK</t>
        </is>
      </c>
      <c r="D34" s="17" t="inlineStr">
        <is>
          <t>SHENDE</t>
        </is>
      </c>
      <c r="E34" s="18" t="n">
        <v>32938</v>
      </c>
      <c r="F34" s="18" t="n">
        <v>41491</v>
      </c>
      <c r="G34" s="17" t="n">
        <v>6</v>
      </c>
      <c r="H34" s="17" t="inlineStr">
        <is>
          <t>Loc-1001</t>
        </is>
      </c>
      <c r="I34" s="17" t="inlineStr">
        <is>
          <t>DELHI</t>
        </is>
      </c>
      <c r="J34" s="17" t="inlineStr">
        <is>
          <t>79453332xx</t>
        </is>
      </c>
      <c r="K34" s="17" t="inlineStr">
        <is>
          <t>Dept-104</t>
        </is>
      </c>
      <c r="L34" s="17" t="inlineStr">
        <is>
          <t>MARKETING</t>
        </is>
      </c>
      <c r="M34" s="17" t="inlineStr">
        <is>
          <t>Mcom</t>
        </is>
      </c>
      <c r="N34" s="17" t="inlineStr">
        <is>
          <t>Very Poor</t>
        </is>
      </c>
      <c r="O34" s="17" t="inlineStr">
        <is>
          <t>Female</t>
        </is>
      </c>
      <c r="P34" s="19" t="n">
        <v>113983.47</v>
      </c>
      <c r="Q34" s="17">
        <f>IF(N34="Very Poor","Terminate","")</f>
        <v/>
      </c>
      <c r="R34" s="20">
        <f>IF(N34="Very Good",P34*5%,0)</f>
        <v/>
      </c>
      <c r="S34" s="17">
        <f>IF(P34&lt;40000,"Low",IF(AND(P34&gt;=41000,P34&lt;=80000),"Mid",IF(P34&gt;80000,"High","")))</f>
        <v/>
      </c>
      <c r="T34" s="17">
        <f>IF(AND(L34="HR",I34="MUMBAI"),"Yes","No")</f>
        <v/>
      </c>
      <c r="U34" s="17">
        <f>IF(OR(L34="HR",L34="FINANCE"),"Yes","No")</f>
        <v/>
      </c>
      <c r="V34" s="21">
        <f>IF(N34="Very Good",15%,IF(N34="Good",12%,IF(N34="Average",10%,"Not applicable")))</f>
        <v/>
      </c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</row>
    <row r="35" ht="18.75" customHeight="1" s="23">
      <c r="A35" s="17" t="inlineStr">
        <is>
          <t>EMP-95512</t>
        </is>
      </c>
      <c r="B35" s="17" t="inlineStr">
        <is>
          <t>AKSHAT</t>
        </is>
      </c>
      <c r="C35" s="17" t="inlineStr">
        <is>
          <t>DILIP</t>
        </is>
      </c>
      <c r="D35" s="17" t="inlineStr">
        <is>
          <t>SHAH</t>
        </is>
      </c>
      <c r="E35" s="18" t="n">
        <v>32999</v>
      </c>
      <c r="F35" s="18" t="n">
        <v>42129</v>
      </c>
      <c r="G35" s="17" t="n">
        <v>6</v>
      </c>
      <c r="H35" s="17" t="inlineStr">
        <is>
          <t>Loc-1004</t>
        </is>
      </c>
      <c r="I35" s="17" t="inlineStr">
        <is>
          <t>MUMBAI</t>
        </is>
      </c>
      <c r="J35" s="17" t="inlineStr">
        <is>
          <t>79480065xx</t>
        </is>
      </c>
      <c r="K35" s="17" t="inlineStr">
        <is>
          <t>Dept-101</t>
        </is>
      </c>
      <c r="L35" s="17" t="inlineStr">
        <is>
          <t>PRODUCTION</t>
        </is>
      </c>
      <c r="M35" s="17" t="inlineStr">
        <is>
          <t>M S</t>
        </is>
      </c>
      <c r="N35" s="17" t="inlineStr">
        <is>
          <t>Good</t>
        </is>
      </c>
      <c r="O35" s="17" t="inlineStr">
        <is>
          <t>Male</t>
        </is>
      </c>
      <c r="P35" s="19" t="n">
        <v>62928.89999999999</v>
      </c>
      <c r="Q35" s="17">
        <f>IF(N35="Very Poor","Terminate","")</f>
        <v/>
      </c>
      <c r="R35" s="20">
        <f>IF(N35="Very Good",P35*5%,0)</f>
        <v/>
      </c>
      <c r="S35" s="17">
        <f>IF(P35&lt;40000,"Low",IF(AND(P35&gt;=41000,P35&lt;=80000),"Mid",IF(P35&gt;80000,"High","")))</f>
        <v/>
      </c>
      <c r="T35" s="17">
        <f>IF(AND(L35="HR",I35="MUMBAI"),"Yes","No")</f>
        <v/>
      </c>
      <c r="U35" s="17">
        <f>IF(OR(L35="HR",L35="FINANCE"),"Yes","No")</f>
        <v/>
      </c>
      <c r="V35" s="21">
        <f>IF(N35="Very Good",15%,IF(N35="Good",12%,IF(N35="Average",10%,"Not applicable")))</f>
        <v/>
      </c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</row>
    <row r="36" ht="18.75" customHeight="1" s="23">
      <c r="A36" s="17" t="inlineStr">
        <is>
          <t>EMP-95551</t>
        </is>
      </c>
      <c r="B36" s="17" t="inlineStr">
        <is>
          <t>AKASH</t>
        </is>
      </c>
      <c r="C36" s="17" t="inlineStr">
        <is>
          <t>DINESH</t>
        </is>
      </c>
      <c r="D36" s="17" t="inlineStr">
        <is>
          <t>SHAH</t>
        </is>
      </c>
      <c r="E36" s="18" t="n">
        <v>32999</v>
      </c>
      <c r="F36" s="18" t="n">
        <v>42830</v>
      </c>
      <c r="G36" s="17" t="n">
        <v>7</v>
      </c>
      <c r="H36" s="17" t="inlineStr">
        <is>
          <t>Loc-1005</t>
        </is>
      </c>
      <c r="I36" s="17" t="inlineStr">
        <is>
          <t>CHENNAI</t>
        </is>
      </c>
      <c r="J36" s="17" t="inlineStr">
        <is>
          <t>79488976xx</t>
        </is>
      </c>
      <c r="K36" s="17" t="inlineStr">
        <is>
          <t>Dept-101</t>
        </is>
      </c>
      <c r="L36" s="17" t="inlineStr">
        <is>
          <t>PRODUCTION</t>
        </is>
      </c>
      <c r="M36" s="17" t="inlineStr">
        <is>
          <t>M.E</t>
        </is>
      </c>
      <c r="N36" s="17" t="inlineStr">
        <is>
          <t>Good</t>
        </is>
      </c>
      <c r="O36" s="17" t="inlineStr">
        <is>
          <t>Male</t>
        </is>
      </c>
      <c r="P36" s="19" t="inlineStr"/>
      <c r="Q36" s="17">
        <f>IF(N36="Very Poor","Terminate","")</f>
        <v/>
      </c>
      <c r="R36" s="20">
        <f>IF(N36="Very Good",P36*5%,0)</f>
        <v/>
      </c>
      <c r="S36" s="17">
        <f>IF(P36&lt;40000,"Low",IF(AND(P36&gt;=41000,P36&lt;=80000),"Mid",IF(P36&gt;80000,"High","")))</f>
        <v/>
      </c>
      <c r="T36" s="17">
        <f>IF(AND(L36="HR",I36="MUMBAI"),"Yes","No")</f>
        <v/>
      </c>
      <c r="U36" s="17">
        <f>IF(OR(L36="HR",L36="FINANCE"),"Yes","No")</f>
        <v/>
      </c>
      <c r="V36" s="21">
        <f>IF(N36="Very Good",15%,IF(N36="Good",12%,IF(N36="Average",10%,"Not applicable")))</f>
        <v/>
      </c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</row>
    <row r="37" ht="18.75" customHeight="1" s="23">
      <c r="A37" s="17" t="inlineStr">
        <is>
          <t>EMP-95552</t>
        </is>
      </c>
      <c r="B37" s="17" t="inlineStr">
        <is>
          <t>ADITI</t>
        </is>
      </c>
      <c r="C37" s="17" t="inlineStr">
        <is>
          <t>FEROZ</t>
        </is>
      </c>
      <c r="D37" s="17" t="inlineStr">
        <is>
          <t>SHAH</t>
        </is>
      </c>
      <c r="E37" s="18" t="n">
        <v>33030</v>
      </c>
      <c r="F37" s="18" t="n">
        <v>43164</v>
      </c>
      <c r="G37" s="17" t="n">
        <v>8</v>
      </c>
      <c r="H37" s="17" t="inlineStr">
        <is>
          <t>Loc-1005</t>
        </is>
      </c>
      <c r="I37" s="17" t="inlineStr">
        <is>
          <t>CHENNAI</t>
        </is>
      </c>
      <c r="J37" s="17" t="inlineStr">
        <is>
          <t>79497886xx</t>
        </is>
      </c>
      <c r="K37" s="17" t="inlineStr">
        <is>
          <t>Dept-102</t>
        </is>
      </c>
      <c r="L37" s="17" t="inlineStr">
        <is>
          <t>HR</t>
        </is>
      </c>
      <c r="M37" s="17" t="inlineStr">
        <is>
          <t>MBA</t>
        </is>
      </c>
      <c r="N37" s="17" t="inlineStr">
        <is>
          <t>Average</t>
        </is>
      </c>
      <c r="O37" s="17" t="inlineStr">
        <is>
          <t>Female</t>
        </is>
      </c>
      <c r="P37" s="19" t="n">
        <v>135857.88</v>
      </c>
      <c r="Q37" s="17">
        <f>IF(N37="Very Poor","Terminate","")</f>
        <v/>
      </c>
      <c r="R37" s="20">
        <f>IF(N37="Very Good",P37*5%,0)</f>
        <v/>
      </c>
      <c r="S37" s="17">
        <f>IF(P37&lt;40000,"Low",IF(AND(P37&gt;=41000,P37&lt;=80000),"Mid",IF(P37&gt;80000,"High","")))</f>
        <v/>
      </c>
      <c r="T37" s="17">
        <f>IF(AND(L37="HR",I37="MUMBAI"),"Yes","No")</f>
        <v/>
      </c>
      <c r="U37" s="17">
        <f>IF(OR(L37="HR",L37="FINANCE"),"Yes","No")</f>
        <v/>
      </c>
      <c r="V37" s="21">
        <f>IF(N37="Very Good",15%,IF(N37="Good",12%,IF(N37="Average",10%,"Not applicable")))</f>
        <v/>
      </c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</row>
    <row r="38" ht="18.75" customHeight="1" s="23">
      <c r="A38" s="17" t="inlineStr">
        <is>
          <t>EMP-95514</t>
        </is>
      </c>
      <c r="B38" s="17" t="inlineStr">
        <is>
          <t>YOGESH</t>
        </is>
      </c>
      <c r="C38" s="17" t="inlineStr">
        <is>
          <t>GAJENDRA</t>
        </is>
      </c>
      <c r="D38" s="17" t="inlineStr">
        <is>
          <t>SHAH</t>
        </is>
      </c>
      <c r="E38" s="18" t="n">
        <v>33060</v>
      </c>
      <c r="F38" s="18" t="n">
        <v>41310</v>
      </c>
      <c r="G38" s="17" t="n">
        <v>5</v>
      </c>
      <c r="H38" s="17" t="inlineStr">
        <is>
          <t>Loc-1004</t>
        </is>
      </c>
      <c r="I38" s="17" t="inlineStr">
        <is>
          <t>MUMBAI</t>
        </is>
      </c>
      <c r="J38" s="17" t="inlineStr">
        <is>
          <t>79506797xx</t>
        </is>
      </c>
      <c r="K38" s="17" t="inlineStr">
        <is>
          <t>Dept-101</t>
        </is>
      </c>
      <c r="L38" s="17" t="inlineStr">
        <is>
          <t>PRODUCTION</t>
        </is>
      </c>
      <c r="M38" s="17" t="inlineStr">
        <is>
          <t>B.E</t>
        </is>
      </c>
      <c r="N38" s="17" t="inlineStr">
        <is>
          <t>Very Good</t>
        </is>
      </c>
      <c r="O38" s="17" t="inlineStr">
        <is>
          <t>Male</t>
        </is>
      </c>
      <c r="P38" s="19" t="n">
        <v>143448.21</v>
      </c>
      <c r="Q38" s="17">
        <f>IF(N38="Very Poor","Terminate","")</f>
        <v/>
      </c>
      <c r="R38" s="20">
        <f>IF(N38="Very Good",P38*5%,0)</f>
        <v/>
      </c>
      <c r="S38" s="17">
        <f>IF(P38&lt;40000,"Low",IF(AND(P38&gt;=41000,P38&lt;=80000),"Mid",IF(P38&gt;80000,"High","")))</f>
        <v/>
      </c>
      <c r="T38" s="17">
        <f>IF(AND(L38="HR",I38="MUMBAI"),"Yes","No")</f>
        <v/>
      </c>
      <c r="U38" s="17">
        <f>IF(OR(L38="HR",L38="FINANCE"),"Yes","No")</f>
        <v/>
      </c>
      <c r="V38" s="21">
        <f>IF(N38="Very Good",15%,IF(N38="Good",12%,IF(N38="Average",10%,"Not applicable")))</f>
        <v/>
      </c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</row>
    <row r="39" ht="18.75" customHeight="1" s="23">
      <c r="A39" s="17" t="inlineStr">
        <is>
          <t>EMP-95553</t>
        </is>
      </c>
      <c r="B39" s="17" t="inlineStr">
        <is>
          <t>YOGESH</t>
        </is>
      </c>
      <c r="C39" s="17" t="inlineStr">
        <is>
          <t>GAUTAM</t>
        </is>
      </c>
      <c r="D39" s="17" t="inlineStr">
        <is>
          <t>SHAH</t>
        </is>
      </c>
      <c r="E39" s="18" t="n">
        <v>33091</v>
      </c>
      <c r="F39" s="18" t="n">
        <v>41279</v>
      </c>
      <c r="G39" s="17" t="n">
        <v>6</v>
      </c>
      <c r="H39" s="17" t="inlineStr">
        <is>
          <t>Loc-1005</t>
        </is>
      </c>
      <c r="I39" s="17" t="inlineStr">
        <is>
          <t>CHENNAI</t>
        </is>
      </c>
      <c r="J39" s="17" t="inlineStr">
        <is>
          <t>79515708xx</t>
        </is>
      </c>
      <c r="K39" s="17" t="inlineStr">
        <is>
          <t>Dept-102</t>
        </is>
      </c>
      <c r="L39" s="17" t="inlineStr">
        <is>
          <t>HR</t>
        </is>
      </c>
      <c r="M39" s="17" t="inlineStr">
        <is>
          <t>PGDBM</t>
        </is>
      </c>
      <c r="N39" s="17" t="inlineStr">
        <is>
          <t>Poor</t>
        </is>
      </c>
      <c r="O39" s="17" t="inlineStr">
        <is>
          <t>Male</t>
        </is>
      </c>
      <c r="P39" s="19" t="n">
        <v>26964.72</v>
      </c>
      <c r="Q39" s="17">
        <f>IF(N39="Very Poor","Terminate","")</f>
        <v/>
      </c>
      <c r="R39" s="20">
        <f>IF(N39="Very Good",P39*5%,0)</f>
        <v/>
      </c>
      <c r="S39" s="17">
        <f>IF(P39&lt;40000,"Low",IF(AND(P39&gt;=41000,P39&lt;=80000),"Mid",IF(P39&gt;80000,"High","")))</f>
        <v/>
      </c>
      <c r="T39" s="17">
        <f>IF(AND(L39="HR",I39="MUMBAI"),"Yes","No")</f>
        <v/>
      </c>
      <c r="U39" s="17">
        <f>IF(OR(L39="HR",L39="FINANCE"),"Yes","No")</f>
        <v/>
      </c>
      <c r="V39" s="21">
        <f>IF(N39="Very Good",15%,IF(N39="Good",12%,IF(N39="Average",10%,"Not applicable")))</f>
        <v/>
      </c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</row>
    <row r="40" ht="18.75" customHeight="1" s="23">
      <c r="A40" s="17" t="inlineStr">
        <is>
          <t>EMP-95515</t>
        </is>
      </c>
      <c r="B40" s="17" t="inlineStr">
        <is>
          <t>VIPUL</t>
        </is>
      </c>
      <c r="C40" s="17" t="inlineStr">
        <is>
          <t>GOPAL</t>
        </is>
      </c>
      <c r="D40" s="17" t="inlineStr">
        <is>
          <t>SAWANT</t>
        </is>
      </c>
      <c r="E40" s="18" t="n">
        <v>33122</v>
      </c>
      <c r="F40" s="18" t="n">
        <v>43074</v>
      </c>
      <c r="G40" s="17" t="n">
        <v>7</v>
      </c>
      <c r="H40" s="17" t="inlineStr">
        <is>
          <t>Loc-1004</t>
        </is>
      </c>
      <c r="I40" s="17" t="inlineStr">
        <is>
          <t>MUMBAI</t>
        </is>
      </c>
      <c r="J40" s="17" t="inlineStr">
        <is>
          <t>79524619xx</t>
        </is>
      </c>
      <c r="K40" s="17" t="inlineStr">
        <is>
          <t>Dept-103</t>
        </is>
      </c>
      <c r="L40" s="17" t="inlineStr">
        <is>
          <t>FINANCE</t>
        </is>
      </c>
      <c r="M40" s="17" t="inlineStr">
        <is>
          <t>Bsc</t>
        </is>
      </c>
      <c r="N40" s="17" t="inlineStr">
        <is>
          <t>Good</t>
        </is>
      </c>
      <c r="O40" s="17" t="inlineStr">
        <is>
          <t>Male</t>
        </is>
      </c>
      <c r="P40" s="19" t="n">
        <v>126960.93</v>
      </c>
      <c r="Q40" s="17">
        <f>IF(N40="Very Poor","Terminate","")</f>
        <v/>
      </c>
      <c r="R40" s="20">
        <f>IF(N40="Very Good",P40*5%,0)</f>
        <v/>
      </c>
      <c r="S40" s="17">
        <f>IF(P40&lt;40000,"Low",IF(AND(P40&gt;=41000,P40&lt;=80000),"Mid",IF(P40&gt;80000,"High","")))</f>
        <v/>
      </c>
      <c r="T40" s="17">
        <f>IF(AND(L40="HR",I40="MUMBAI"),"Yes","No")</f>
        <v/>
      </c>
      <c r="U40" s="17">
        <f>IF(OR(L40="HR",L40="FINANCE"),"Yes","No")</f>
        <v/>
      </c>
      <c r="V40" s="21">
        <f>IF(N40="Very Good",15%,IF(N40="Good",12%,IF(N40="Average",10%,"Not applicable")))</f>
        <v/>
      </c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</row>
    <row r="41" ht="18.75" customHeight="1" s="23">
      <c r="A41" s="17" t="inlineStr">
        <is>
          <t>EMP-95554</t>
        </is>
      </c>
      <c r="B41" s="17" t="inlineStr">
        <is>
          <t>SUJEYA</t>
        </is>
      </c>
      <c r="C41" s="17" t="inlineStr">
        <is>
          <t>GUPTA</t>
        </is>
      </c>
      <c r="D41" s="17" t="inlineStr">
        <is>
          <t>SAWADE</t>
        </is>
      </c>
      <c r="E41" s="18" t="n">
        <v>33152</v>
      </c>
      <c r="F41" s="18" t="n">
        <v>41218</v>
      </c>
      <c r="G41" s="17" t="n">
        <v>8</v>
      </c>
      <c r="H41" s="17" t="inlineStr">
        <is>
          <t>Loc-1005</t>
        </is>
      </c>
      <c r="I41" s="17" t="inlineStr">
        <is>
          <t>CHENNAI</t>
        </is>
      </c>
      <c r="J41" s="17" t="inlineStr">
        <is>
          <t>79533530xx</t>
        </is>
      </c>
      <c r="K41" s="17" t="inlineStr">
        <is>
          <t>Dept-104</t>
        </is>
      </c>
      <c r="L41" s="17" t="inlineStr">
        <is>
          <t>MARKETING</t>
        </is>
      </c>
      <c r="M41" s="17" t="inlineStr">
        <is>
          <t>CS</t>
        </is>
      </c>
      <c r="N41" s="17" t="inlineStr">
        <is>
          <t>Very Poor</t>
        </is>
      </c>
      <c r="O41" s="17" t="inlineStr">
        <is>
          <t>Male</t>
        </is>
      </c>
      <c r="P41" s="19" t="n">
        <v>18499.23</v>
      </c>
      <c r="Q41" s="17">
        <f>IF(N41="Very Poor","Terminate","")</f>
        <v/>
      </c>
      <c r="R41" s="20">
        <f>IF(N41="Very Good",P41*5%,0)</f>
        <v/>
      </c>
      <c r="S41" s="17">
        <f>IF(P41&lt;40000,"Low",IF(AND(P41&gt;=41000,P41&lt;=80000),"Mid",IF(P41&gt;80000,"High","")))</f>
        <v/>
      </c>
      <c r="T41" s="17">
        <f>IF(AND(L41="HR",I41="MUMBAI"),"Yes","No")</f>
        <v/>
      </c>
      <c r="U41" s="17">
        <f>IF(OR(L41="HR",L41="FINANCE"),"Yes","No")</f>
        <v/>
      </c>
      <c r="V41" s="21">
        <f>IF(N41="Very Good",15%,IF(N41="Good",12%,IF(N41="Average",10%,"Not applicable")))</f>
        <v/>
      </c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</row>
    <row r="42" ht="18.75" customHeight="1" s="23">
      <c r="A42" s="17" t="inlineStr">
        <is>
          <t>EMP-95448</t>
        </is>
      </c>
      <c r="B42" s="17" t="inlineStr">
        <is>
          <t>SOMAY</t>
        </is>
      </c>
      <c r="C42" s="17" t="inlineStr">
        <is>
          <t>GYARSILAL</t>
        </is>
      </c>
      <c r="D42" s="17" t="inlineStr">
        <is>
          <t>SATPUTE</t>
        </is>
      </c>
      <c r="E42" s="18" t="n">
        <v>33183</v>
      </c>
      <c r="F42" s="18" t="n">
        <v>41187</v>
      </c>
      <c r="G42" s="17" t="n">
        <v>6</v>
      </c>
      <c r="H42" s="17" t="inlineStr">
        <is>
          <t>Loc-1001</t>
        </is>
      </c>
      <c r="I42" s="17" t="inlineStr">
        <is>
          <t>DELHI</t>
        </is>
      </c>
      <c r="J42" s="17" t="inlineStr">
        <is>
          <t>79542441xx</t>
        </is>
      </c>
      <c r="K42" s="17" t="inlineStr">
        <is>
          <t>Dept-102</t>
        </is>
      </c>
      <c r="L42" s="17" t="inlineStr">
        <is>
          <t>HR</t>
        </is>
      </c>
      <c r="M42" s="17" t="inlineStr">
        <is>
          <t>MBA</t>
        </is>
      </c>
      <c r="N42" s="17" t="inlineStr">
        <is>
          <t>Poor</t>
        </is>
      </c>
      <c r="O42" s="17" t="inlineStr">
        <is>
          <t>Male</t>
        </is>
      </c>
      <c r="P42" s="19" t="n">
        <v>77344.56</v>
      </c>
      <c r="Q42" s="17">
        <f>IF(N42="Very Poor","Terminate","")</f>
        <v/>
      </c>
      <c r="R42" s="20">
        <f>IF(N42="Very Good",P42*5%,0)</f>
        <v/>
      </c>
      <c r="S42" s="17">
        <f>IF(P42&lt;40000,"Low",IF(AND(P42&gt;=41000,P42&lt;=80000),"Mid",IF(P42&gt;80000,"High","")))</f>
        <v/>
      </c>
      <c r="T42" s="17">
        <f>IF(AND(L42="HR",I42="MUMBAI"),"Yes","No")</f>
        <v/>
      </c>
      <c r="U42" s="17">
        <f>IF(OR(L42="HR",L42="FINANCE"),"Yes","No")</f>
        <v/>
      </c>
      <c r="V42" s="21">
        <f>IF(N42="Very Good",15%,IF(N42="Good",12%,IF(N42="Average",10%,"Not applicable")))</f>
        <v/>
      </c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</row>
    <row r="43" ht="18.75" customHeight="1" s="23">
      <c r="A43" s="17" t="inlineStr">
        <is>
          <t>EMP-95466</t>
        </is>
      </c>
      <c r="B43" s="17" t="inlineStr">
        <is>
          <t>SHWETA</t>
        </is>
      </c>
      <c r="C43" s="17" t="inlineStr">
        <is>
          <t>HAMBIRRAO</t>
        </is>
      </c>
      <c r="D43" s="17" t="inlineStr">
        <is>
          <t>SATHE</t>
        </is>
      </c>
      <c r="E43" s="18" t="n">
        <v>33213</v>
      </c>
      <c r="F43" s="18" t="n">
        <v>41157</v>
      </c>
      <c r="G43" s="17" t="n">
        <v>7</v>
      </c>
      <c r="H43" s="17" t="inlineStr">
        <is>
          <t>Loc-1002</t>
        </is>
      </c>
      <c r="I43" s="17" t="inlineStr">
        <is>
          <t>BANGALORE</t>
        </is>
      </c>
      <c r="J43" s="17" t="inlineStr">
        <is>
          <t>79551352xx</t>
        </is>
      </c>
      <c r="K43" s="17" t="inlineStr">
        <is>
          <t>Dept-102</t>
        </is>
      </c>
      <c r="L43" s="17" t="inlineStr">
        <is>
          <t>HR</t>
        </is>
      </c>
      <c r="M43" s="17" t="inlineStr">
        <is>
          <t>M S</t>
        </is>
      </c>
      <c r="N43" s="17" t="inlineStr">
        <is>
          <t>Good</t>
        </is>
      </c>
      <c r="O43" s="17" t="inlineStr">
        <is>
          <t>Female</t>
        </is>
      </c>
      <c r="P43" s="19" t="n">
        <v>140371.38</v>
      </c>
      <c r="Q43" s="17">
        <f>IF(N43="Very Poor","Terminate","")</f>
        <v/>
      </c>
      <c r="R43" s="20">
        <f>IF(N43="Very Good",P43*5%,0)</f>
        <v/>
      </c>
      <c r="S43" s="17">
        <f>IF(P43&lt;40000,"Low",IF(AND(P43&gt;=41000,P43&lt;=80000),"Mid",IF(P43&gt;80000,"High","")))</f>
        <v/>
      </c>
      <c r="T43" s="17">
        <f>IF(AND(L43="HR",I43="MUMBAI"),"Yes","No")</f>
        <v/>
      </c>
      <c r="U43" s="17">
        <f>IF(OR(L43="HR",L43="FINANCE"),"Yes","No")</f>
        <v/>
      </c>
      <c r="V43" s="21">
        <f>IF(N43="Very Good",15%,IF(N43="Good",12%,IF(N43="Average",10%,"Not applicable")))</f>
        <v/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</row>
    <row r="44" ht="18.75" customHeight="1" s="23">
      <c r="A44" s="17" t="inlineStr">
        <is>
          <t>EMP-95486</t>
        </is>
      </c>
      <c r="B44" s="17" t="inlineStr">
        <is>
          <t>Shubhrata</t>
        </is>
      </c>
      <c r="C44" s="17" t="inlineStr">
        <is>
          <t>HANUMANT</t>
        </is>
      </c>
      <c r="D44" s="17" t="inlineStr">
        <is>
          <t>SANKHLA</t>
        </is>
      </c>
      <c r="E44" s="18" t="n">
        <v>33244</v>
      </c>
      <c r="F44" s="18" t="n">
        <v>44413</v>
      </c>
      <c r="G44" s="17" t="n">
        <v>8</v>
      </c>
      <c r="H44" s="17" t="inlineStr">
        <is>
          <t>Loc-1003</t>
        </is>
      </c>
      <c r="I44" s="17" t="inlineStr">
        <is>
          <t>NAGPUR</t>
        </is>
      </c>
      <c r="J44" s="17" t="inlineStr">
        <is>
          <t>79560263xx</t>
        </is>
      </c>
      <c r="K44" s="17" t="inlineStr">
        <is>
          <t>Dept-105</t>
        </is>
      </c>
      <c r="L44" s="17" t="inlineStr">
        <is>
          <t>ADMIN</t>
        </is>
      </c>
      <c r="M44" s="17" t="inlineStr">
        <is>
          <t>M S</t>
        </is>
      </c>
      <c r="N44" s="17" t="inlineStr">
        <is>
          <t>Good</t>
        </is>
      </c>
      <c r="O44" s="17" t="inlineStr">
        <is>
          <t>Female</t>
        </is>
      </c>
      <c r="P44" s="19" t="n">
        <v>34740.18</v>
      </c>
      <c r="Q44" s="17">
        <f>IF(N44="Very Poor","Terminate","")</f>
        <v/>
      </c>
      <c r="R44" s="20">
        <f>IF(N44="Very Good",P44*5%,0)</f>
        <v/>
      </c>
      <c r="S44" s="17">
        <f>IF(P44&lt;40000,"Low",IF(AND(P44&gt;=41000,P44&lt;=80000),"Mid",IF(P44&gt;80000,"High","")))</f>
        <v/>
      </c>
      <c r="T44" s="17">
        <f>IF(AND(L44="HR",I44="MUMBAI"),"Yes","No")</f>
        <v/>
      </c>
      <c r="U44" s="17">
        <f>IF(OR(L44="HR",L44="FINANCE"),"Yes","No")</f>
        <v/>
      </c>
      <c r="V44" s="21">
        <f>IF(N44="Very Good",15%,IF(N44="Good",12%,IF(N44="Average",10%,"Not applicable")))</f>
        <v/>
      </c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</row>
    <row r="45" ht="18.75" customHeight="1" s="23">
      <c r="A45" s="17" t="inlineStr">
        <is>
          <t>EMP-95516</t>
        </is>
      </c>
      <c r="B45" s="17" t="inlineStr">
        <is>
          <t>SHASHWAT</t>
        </is>
      </c>
      <c r="C45" s="17" t="inlineStr">
        <is>
          <t>HARESH</t>
        </is>
      </c>
      <c r="D45" s="17" t="inlineStr">
        <is>
          <t>SALUNKE</t>
        </is>
      </c>
      <c r="E45" s="18" t="n">
        <v>33275</v>
      </c>
      <c r="F45" s="18" t="n">
        <v>44017</v>
      </c>
      <c r="G45" s="17" t="n">
        <v>5</v>
      </c>
      <c r="H45" s="17" t="inlineStr">
        <is>
          <t>Loc-1004</t>
        </is>
      </c>
      <c r="I45" s="17" t="inlineStr">
        <is>
          <t>MUMBAI</t>
        </is>
      </c>
      <c r="J45" s="17" t="inlineStr">
        <is>
          <t>79569174xx</t>
        </is>
      </c>
      <c r="K45" s="17" t="inlineStr">
        <is>
          <t>Dept-105</t>
        </is>
      </c>
      <c r="L45" s="17" t="inlineStr">
        <is>
          <t>ADMIN</t>
        </is>
      </c>
      <c r="M45" s="17" t="inlineStr">
        <is>
          <t>MBA</t>
        </is>
      </c>
      <c r="N45" s="17" t="inlineStr">
        <is>
          <t>Very Poor</t>
        </is>
      </c>
      <c r="O45" s="17" t="inlineStr">
        <is>
          <t>Male</t>
        </is>
      </c>
      <c r="P45" s="19" t="n">
        <v>110368.08</v>
      </c>
      <c r="Q45" s="17">
        <f>IF(N45="Very Poor","Terminate","")</f>
        <v/>
      </c>
      <c r="R45" s="20">
        <f>IF(N45="Very Good",P45*5%,0)</f>
        <v/>
      </c>
      <c r="S45" s="17">
        <f>IF(P45&lt;40000,"Low",IF(AND(P45&gt;=41000,P45&lt;=80000),"Mid",IF(P45&gt;80000,"High","")))</f>
        <v/>
      </c>
      <c r="T45" s="17">
        <f>IF(AND(L45="HR",I45="MUMBAI"),"Yes","No")</f>
        <v/>
      </c>
      <c r="U45" s="17">
        <f>IF(OR(L45="HR",L45="FINANCE"),"Yes","No")</f>
        <v/>
      </c>
      <c r="V45" s="21">
        <f>IF(N45="Very Good",15%,IF(N45="Good",12%,IF(N45="Average",10%,"Not applicable")))</f>
        <v/>
      </c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</row>
    <row r="46" ht="18.75" customHeight="1" s="23">
      <c r="A46" s="17" t="inlineStr">
        <is>
          <t>EMP-95487</t>
        </is>
      </c>
      <c r="B46" s="17" t="inlineStr">
        <is>
          <t>RUSHABH</t>
        </is>
      </c>
      <c r="C46" s="17" t="inlineStr">
        <is>
          <t>HEMANT</t>
        </is>
      </c>
      <c r="D46" s="17" t="inlineStr">
        <is>
          <t>RODE</t>
        </is>
      </c>
      <c r="E46" s="18" t="n">
        <v>33303</v>
      </c>
      <c r="F46" s="18" t="n">
        <v>41065</v>
      </c>
      <c r="G46" s="17" t="n">
        <v>6</v>
      </c>
      <c r="H46" s="17" t="inlineStr">
        <is>
          <t>Loc-1003</t>
        </is>
      </c>
      <c r="I46" s="17" t="inlineStr">
        <is>
          <t>NAGPUR</t>
        </is>
      </c>
      <c r="J46" s="17" t="inlineStr">
        <is>
          <t>79578085xx</t>
        </is>
      </c>
      <c r="K46" s="17" t="inlineStr">
        <is>
          <t>Dept-102</t>
        </is>
      </c>
      <c r="L46" s="17" t="inlineStr">
        <is>
          <t>HR</t>
        </is>
      </c>
      <c r="M46" s="17" t="inlineStr">
        <is>
          <t>BCA</t>
        </is>
      </c>
      <c r="N46" s="17" t="inlineStr">
        <is>
          <t>Poor</t>
        </is>
      </c>
      <c r="O46" s="17" t="inlineStr">
        <is>
          <t>Male</t>
        </is>
      </c>
      <c r="P46" s="19" t="n">
        <v>43725.87</v>
      </c>
      <c r="Q46" s="17">
        <f>IF(N46="Very Poor","Terminate","")</f>
        <v/>
      </c>
      <c r="R46" s="20">
        <f>IF(N46="Very Good",P46*5%,0)</f>
        <v/>
      </c>
      <c r="S46" s="17">
        <f>IF(P46&lt;40000,"Low",IF(AND(P46&gt;=41000,P46&lt;=80000),"Mid",IF(P46&gt;80000,"High","")))</f>
        <v/>
      </c>
      <c r="T46" s="17">
        <f>IF(AND(L46="HR",I46="MUMBAI"),"Yes","No")</f>
        <v/>
      </c>
      <c r="U46" s="17">
        <f>IF(OR(L46="HR",L46="FINANCE"),"Yes","No")</f>
        <v/>
      </c>
      <c r="V46" s="21">
        <f>IF(N46="Very Good",15%,IF(N46="Good",12%,IF(N46="Average",10%,"Not applicable")))</f>
        <v/>
      </c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</row>
    <row r="47" ht="18.75" customHeight="1" s="23">
      <c r="A47" s="17" t="inlineStr">
        <is>
          <t>EMP-95517</t>
        </is>
      </c>
      <c r="B47" s="17" t="inlineStr">
        <is>
          <t>RUCHIRA</t>
        </is>
      </c>
      <c r="C47" s="17" t="inlineStr">
        <is>
          <t>HUSSAIN</t>
        </is>
      </c>
      <c r="D47" s="17" t="inlineStr">
        <is>
          <t>REDDY</t>
        </is>
      </c>
      <c r="E47" s="18" t="n">
        <v>33334</v>
      </c>
      <c r="F47" s="18" t="n">
        <v>41034</v>
      </c>
      <c r="G47" s="17" t="n">
        <v>7</v>
      </c>
      <c r="H47" s="17" t="inlineStr">
        <is>
          <t>Loc-1004</t>
        </is>
      </c>
      <c r="I47" s="17" t="inlineStr">
        <is>
          <t>MUMBAI</t>
        </is>
      </c>
      <c r="J47" s="17" t="inlineStr">
        <is>
          <t>79586995xx</t>
        </is>
      </c>
      <c r="K47" s="17" t="inlineStr">
        <is>
          <t>Dept-101</t>
        </is>
      </c>
      <c r="L47" s="17" t="inlineStr">
        <is>
          <t>PRODUCTION</t>
        </is>
      </c>
      <c r="M47" s="17" t="inlineStr">
        <is>
          <t>PGDBM</t>
        </is>
      </c>
      <c r="N47" s="17" t="inlineStr">
        <is>
          <t>Poor</t>
        </is>
      </c>
      <c r="O47" s="17" t="inlineStr">
        <is>
          <t>Female</t>
        </is>
      </c>
      <c r="P47" s="19" t="n">
        <v>144285.12</v>
      </c>
      <c r="Q47" s="17">
        <f>IF(N47="Very Poor","Terminate","")</f>
        <v/>
      </c>
      <c r="R47" s="20">
        <f>IF(N47="Very Good",P47*5%,0)</f>
        <v/>
      </c>
      <c r="S47" s="17">
        <f>IF(P47&lt;40000,"Low",IF(AND(P47&gt;=41000,P47&lt;=80000),"Mid",IF(P47&gt;80000,"High","")))</f>
        <v/>
      </c>
      <c r="T47" s="17">
        <f>IF(AND(L47="HR",I47="MUMBAI"),"Yes","No")</f>
        <v/>
      </c>
      <c r="U47" s="17">
        <f>IF(OR(L47="HR",L47="FINANCE"),"Yes","No")</f>
        <v/>
      </c>
      <c r="V47" s="21">
        <f>IF(N47="Very Good",15%,IF(N47="Good",12%,IF(N47="Average",10%,"Not applicable")))</f>
        <v/>
      </c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</row>
    <row r="48" ht="18.75" customHeight="1" s="23">
      <c r="A48" s="17" t="inlineStr">
        <is>
          <t>EMP-95449</t>
        </is>
      </c>
      <c r="B48" s="17" t="inlineStr">
        <is>
          <t>ROHIT</t>
        </is>
      </c>
      <c r="C48" s="17" t="inlineStr">
        <is>
          <t>ISHWAR</t>
        </is>
      </c>
      <c r="D48" s="17" t="inlineStr">
        <is>
          <t>RATHI</t>
        </is>
      </c>
      <c r="E48" s="18" t="n">
        <v>33364</v>
      </c>
      <c r="F48" s="18" t="n">
        <v>44291</v>
      </c>
      <c r="G48" s="17" t="n">
        <v>8</v>
      </c>
      <c r="H48" s="17" t="inlineStr">
        <is>
          <t>Loc-1001</t>
        </is>
      </c>
      <c r="I48" s="17" t="inlineStr">
        <is>
          <t>DELHI</t>
        </is>
      </c>
      <c r="J48" s="17" t="inlineStr">
        <is>
          <t>79595906xx</t>
        </is>
      </c>
      <c r="K48" s="17" t="inlineStr">
        <is>
          <t>Dept-104</t>
        </is>
      </c>
      <c r="L48" s="17" t="inlineStr">
        <is>
          <t>MARKETING</t>
        </is>
      </c>
      <c r="M48" s="17" t="inlineStr">
        <is>
          <t>BCA</t>
        </is>
      </c>
      <c r="N48" s="17" t="inlineStr">
        <is>
          <t>Very Good</t>
        </is>
      </c>
      <c r="O48" s="17" t="inlineStr">
        <is>
          <t>Male</t>
        </is>
      </c>
      <c r="P48" s="19" t="n">
        <v>88876.17</v>
      </c>
      <c r="Q48" s="17">
        <f>IF(N48="Very Poor","Terminate","")</f>
        <v/>
      </c>
      <c r="R48" s="20">
        <f>IF(N48="Very Good",P48*5%,0)</f>
        <v/>
      </c>
      <c r="S48" s="17">
        <f>IF(P48&lt;40000,"Low",IF(AND(P48&gt;=41000,P48&lt;=80000),"Mid",IF(P48&gt;80000,"High","")))</f>
        <v/>
      </c>
      <c r="T48" s="17">
        <f>IF(AND(L48="HR",I48="MUMBAI"),"Yes","No")</f>
        <v/>
      </c>
      <c r="U48" s="17">
        <f>IF(OR(L48="HR",L48="FINANCE"),"Yes","No")</f>
        <v/>
      </c>
      <c r="V48" s="21">
        <f>IF(N48="Very Good",15%,IF(N48="Good",12%,IF(N48="Average",10%,"Not applicable")))</f>
        <v/>
      </c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</row>
    <row r="49" ht="18.75" customHeight="1" s="23">
      <c r="A49" s="17" t="inlineStr">
        <is>
          <t>EMP-95467</t>
        </is>
      </c>
      <c r="B49" s="17" t="inlineStr">
        <is>
          <t>PUSULURI</t>
        </is>
      </c>
      <c r="C49" s="17" t="inlineStr">
        <is>
          <t>JAGDISH</t>
        </is>
      </c>
      <c r="D49" s="17" t="inlineStr">
        <is>
          <t>RATHI</t>
        </is>
      </c>
      <c r="E49" s="18" t="n">
        <v>33395</v>
      </c>
      <c r="F49" s="18" t="n">
        <v>40973</v>
      </c>
      <c r="G49" s="17" t="n">
        <v>6</v>
      </c>
      <c r="H49" s="17" t="inlineStr">
        <is>
          <t>Loc-1002</t>
        </is>
      </c>
      <c r="I49" s="17" t="inlineStr">
        <is>
          <t>BANGALORE</t>
        </is>
      </c>
      <c r="J49" s="17" t="inlineStr">
        <is>
          <t>79604817xx</t>
        </is>
      </c>
      <c r="K49" s="17" t="inlineStr">
        <is>
          <t>Dept-103</t>
        </is>
      </c>
      <c r="L49" s="17" t="inlineStr">
        <is>
          <t>FINANCE</t>
        </is>
      </c>
      <c r="M49" s="17" t="inlineStr">
        <is>
          <t>MBA</t>
        </is>
      </c>
      <c r="N49" s="17" t="inlineStr">
        <is>
          <t>Good</t>
        </is>
      </c>
      <c r="O49" s="17" t="inlineStr">
        <is>
          <t>Female</t>
        </is>
      </c>
      <c r="P49" s="19" t="n">
        <v>134584.92</v>
      </c>
      <c r="Q49" s="17">
        <f>IF(N49="Very Poor","Terminate","")</f>
        <v/>
      </c>
      <c r="R49" s="20">
        <f>IF(N49="Very Good",P49*5%,0)</f>
        <v/>
      </c>
      <c r="S49" s="17">
        <f>IF(P49&lt;40000,"Low",IF(AND(P49&gt;=41000,P49&lt;=80000),"Mid",IF(P49&gt;80000,"High","")))</f>
        <v/>
      </c>
      <c r="T49" s="17">
        <f>IF(AND(L49="HR",I49="MUMBAI"),"Yes","No")</f>
        <v/>
      </c>
      <c r="U49" s="17">
        <f>IF(OR(L49="HR",L49="FINANCE"),"Yes","No")</f>
        <v/>
      </c>
      <c r="V49" s="21">
        <f>IF(N49="Very Good",15%,IF(N49="Good",12%,IF(N49="Average",10%,"Not applicable")))</f>
        <v/>
      </c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</row>
    <row r="50" ht="18.75" customHeight="1" s="23">
      <c r="A50" s="17" t="inlineStr">
        <is>
          <t>EMP-95488</t>
        </is>
      </c>
      <c r="B50" s="17" t="inlineStr">
        <is>
          <t>PURVA</t>
        </is>
      </c>
      <c r="C50" s="17" t="inlineStr">
        <is>
          <t>JANGBAHADUR</t>
        </is>
      </c>
      <c r="D50" s="17" t="inlineStr">
        <is>
          <t>RALKAR</t>
        </is>
      </c>
      <c r="E50" s="18" t="n">
        <v>33425</v>
      </c>
      <c r="F50" s="18" t="n">
        <v>40944</v>
      </c>
      <c r="G50" s="17" t="n">
        <v>7</v>
      </c>
      <c r="H50" s="17" t="inlineStr">
        <is>
          <t>Loc-1003</t>
        </is>
      </c>
      <c r="I50" s="17" t="inlineStr">
        <is>
          <t>NAGPUR</t>
        </is>
      </c>
      <c r="J50" s="17" t="inlineStr">
        <is>
          <t>79613728xx</t>
        </is>
      </c>
      <c r="K50" s="17" t="inlineStr">
        <is>
          <t>Dept-102</t>
        </is>
      </c>
      <c r="L50" s="17" t="inlineStr">
        <is>
          <t>HR</t>
        </is>
      </c>
      <c r="M50" s="17" t="inlineStr">
        <is>
          <t>BBM</t>
        </is>
      </c>
      <c r="N50" s="17" t="inlineStr">
        <is>
          <t>Very Good</t>
        </is>
      </c>
      <c r="O50" s="17" t="inlineStr">
        <is>
          <t>Female</t>
        </is>
      </c>
      <c r="P50" s="19" t="n">
        <v>118400.58</v>
      </c>
      <c r="Q50" s="17">
        <f>IF(N50="Very Poor","Terminate","")</f>
        <v/>
      </c>
      <c r="R50" s="20">
        <f>IF(N50="Very Good",P50*5%,0)</f>
        <v/>
      </c>
      <c r="S50" s="17">
        <f>IF(P50&lt;40000,"Low",IF(AND(P50&gt;=41000,P50&lt;=80000),"Mid",IF(P50&gt;80000,"High","")))</f>
        <v/>
      </c>
      <c r="T50" s="17">
        <f>IF(AND(L50="HR",I50="MUMBAI"),"Yes","No")</f>
        <v/>
      </c>
      <c r="U50" s="17">
        <f>IF(OR(L50="HR",L50="FINANCE"),"Yes","No")</f>
        <v/>
      </c>
      <c r="V50" s="21">
        <f>IF(N50="Very Good",15%,IF(N50="Good",12%,IF(N50="Average",10%,"Not applicable")))</f>
        <v/>
      </c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</row>
    <row r="51" ht="18.75" customHeight="1" s="23">
      <c r="A51" s="17" t="inlineStr">
        <is>
          <t>EMP-95518</t>
        </is>
      </c>
      <c r="B51" s="17" t="inlineStr">
        <is>
          <t>PRATIK</t>
        </is>
      </c>
      <c r="C51" s="17" t="inlineStr">
        <is>
          <t>JAYESH</t>
        </is>
      </c>
      <c r="D51" s="17" t="inlineStr">
        <is>
          <t>PURANDARE</t>
        </is>
      </c>
      <c r="E51" s="18" t="n">
        <v>33456</v>
      </c>
      <c r="F51" s="18" t="n">
        <v>40913</v>
      </c>
      <c r="G51" s="17" t="n">
        <v>8</v>
      </c>
      <c r="H51" s="17" t="inlineStr">
        <is>
          <t>Loc-1004</t>
        </is>
      </c>
      <c r="I51" s="17" t="inlineStr">
        <is>
          <t>MUMBAI</t>
        </is>
      </c>
      <c r="J51" s="17" t="inlineStr">
        <is>
          <t>79622639xx</t>
        </is>
      </c>
      <c r="K51" s="17" t="inlineStr">
        <is>
          <t>Dept-101</t>
        </is>
      </c>
      <c r="L51" s="17" t="inlineStr">
        <is>
          <t>PRODUCTION</t>
        </is>
      </c>
      <c r="M51" s="17" t="inlineStr">
        <is>
          <t>CA</t>
        </is>
      </c>
      <c r="N51" s="17" t="inlineStr">
        <is>
          <t>Good</t>
        </is>
      </c>
      <c r="O51" s="17" t="inlineStr">
        <is>
          <t>Male</t>
        </is>
      </c>
      <c r="P51" s="19" t="n">
        <v>96673.04999999999</v>
      </c>
      <c r="Q51" s="17">
        <f>IF(N51="Very Poor","Terminate","")</f>
        <v/>
      </c>
      <c r="R51" s="20">
        <f>IF(N51="Very Good",P51*5%,0)</f>
        <v/>
      </c>
      <c r="S51" s="17">
        <f>IF(P51&lt;40000,"Low",IF(AND(P51&gt;=41000,P51&lt;=80000),"Mid",IF(P51&gt;80000,"High","")))</f>
        <v/>
      </c>
      <c r="T51" s="17">
        <f>IF(AND(L51="HR",I51="MUMBAI"),"Yes","No")</f>
        <v/>
      </c>
      <c r="U51" s="17">
        <f>IF(OR(L51="HR",L51="FINANCE"),"Yes","No")</f>
        <v/>
      </c>
      <c r="V51" s="21">
        <f>IF(N51="Very Good",15%,IF(N51="Good",12%,IF(N51="Average",10%,"Not applicable")))</f>
        <v/>
      </c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</row>
    <row r="52" ht="18.75" customHeight="1" s="23">
      <c r="A52" s="17" t="inlineStr">
        <is>
          <t>EMP-95556</t>
        </is>
      </c>
      <c r="B52" s="17" t="inlineStr">
        <is>
          <t>POOJA</t>
        </is>
      </c>
      <c r="C52" s="17" t="inlineStr">
        <is>
          <t>JITENDRA</t>
        </is>
      </c>
      <c r="D52" s="17" t="inlineStr">
        <is>
          <t>PHARATE</t>
        </is>
      </c>
      <c r="E52" s="18" t="n">
        <v>33548</v>
      </c>
      <c r="F52" s="18" t="n">
        <v>41248</v>
      </c>
      <c r="G52" s="17" t="n">
        <v>7</v>
      </c>
      <c r="H52" s="17" t="inlineStr">
        <is>
          <t>Loc-1005</t>
        </is>
      </c>
      <c r="I52" s="17" t="inlineStr">
        <is>
          <t>CHENNAI</t>
        </is>
      </c>
      <c r="J52" s="17" t="inlineStr">
        <is>
          <t>79649372xx</t>
        </is>
      </c>
      <c r="K52" s="17" t="inlineStr">
        <is>
          <t>Dept-105</t>
        </is>
      </c>
      <c r="L52" s="17" t="inlineStr">
        <is>
          <t>ADMIN</t>
        </is>
      </c>
      <c r="M52" s="17" t="inlineStr">
        <is>
          <t>M.E</t>
        </is>
      </c>
      <c r="N52" s="17" t="inlineStr">
        <is>
          <t>Good</t>
        </is>
      </c>
      <c r="O52" s="17" t="inlineStr">
        <is>
          <t>Female</t>
        </is>
      </c>
      <c r="P52" s="19" t="n">
        <v>92721.06</v>
      </c>
      <c r="Q52" s="17">
        <f>IF(N52="Very Poor","Terminate","")</f>
        <v/>
      </c>
      <c r="R52" s="20">
        <f>IF(N52="Very Good",P52*5%,0)</f>
        <v/>
      </c>
      <c r="S52" s="17">
        <f>IF(P52&lt;40000,"Low",IF(AND(P52&gt;=41000,P52&lt;=80000),"Mid",IF(P52&gt;80000,"High","")))</f>
        <v/>
      </c>
      <c r="T52" s="17">
        <f>IF(AND(L52="HR",I52="MUMBAI"),"Yes","No")</f>
        <v/>
      </c>
      <c r="U52" s="17">
        <f>IF(OR(L52="HR",L52="FINANCE"),"Yes","No")</f>
        <v/>
      </c>
      <c r="V52" s="21">
        <f>IF(N52="Very Good",15%,IF(N52="Good",12%,IF(N52="Average",10%,"Not applicable")))</f>
        <v/>
      </c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</row>
    <row r="53" ht="18.75" customHeight="1" s="23">
      <c r="A53" s="17" t="inlineStr">
        <is>
          <t>EMP-95519</t>
        </is>
      </c>
      <c r="B53" s="17" t="inlineStr">
        <is>
          <t>POONAM</t>
        </is>
      </c>
      <c r="C53" s="17" t="inlineStr">
        <is>
          <t>JITENDRA</t>
        </is>
      </c>
      <c r="D53" s="17" t="inlineStr">
        <is>
          <t>POTE</t>
        </is>
      </c>
      <c r="E53" s="18" t="n">
        <v>33517</v>
      </c>
      <c r="F53" s="18" t="n">
        <v>40852</v>
      </c>
      <c r="G53" s="17" t="n">
        <v>6</v>
      </c>
      <c r="H53" s="17" t="inlineStr">
        <is>
          <t>Loc-1004</t>
        </is>
      </c>
      <c r="I53" s="17" t="inlineStr">
        <is>
          <t>MUMBAI</t>
        </is>
      </c>
      <c r="J53" s="17" t="inlineStr">
        <is>
          <t>79640461xx</t>
        </is>
      </c>
      <c r="K53" s="17" t="inlineStr">
        <is>
          <t>Dept-102</t>
        </is>
      </c>
      <c r="L53" s="17" t="inlineStr">
        <is>
          <t>HR</t>
        </is>
      </c>
      <c r="M53" s="17" t="inlineStr">
        <is>
          <t>M.E</t>
        </is>
      </c>
      <c r="N53" s="17" t="inlineStr">
        <is>
          <t>Very Poor</t>
        </is>
      </c>
      <c r="O53" s="17" t="inlineStr">
        <is>
          <t>Female</t>
        </is>
      </c>
      <c r="P53" s="19" t="n">
        <v>32971.5</v>
      </c>
      <c r="Q53" s="17">
        <f>IF(N53="Very Poor","Terminate","")</f>
        <v/>
      </c>
      <c r="R53" s="20">
        <f>IF(N53="Very Good",P53*5%,0)</f>
        <v/>
      </c>
      <c r="S53" s="17">
        <f>IF(P53&lt;40000,"Low",IF(AND(P53&gt;=41000,P53&lt;=80000),"Mid",IF(P53&gt;80000,"High","")))</f>
        <v/>
      </c>
      <c r="T53" s="17">
        <f>IF(AND(L53="HR",I53="MUMBAI"),"Yes","No")</f>
        <v/>
      </c>
      <c r="U53" s="17">
        <f>IF(OR(L53="HR",L53="FINANCE"),"Yes","No")</f>
        <v/>
      </c>
      <c r="V53" s="21">
        <f>IF(N53="Very Good",15%,IF(N53="Good",12%,IF(N53="Average",10%,"Not applicable")))</f>
        <v/>
      </c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</row>
    <row r="54" ht="18.75" customHeight="1" s="23">
      <c r="A54" s="17" t="inlineStr">
        <is>
          <t>EMP-95555</t>
        </is>
      </c>
      <c r="B54" s="17" t="inlineStr">
        <is>
          <t>PRANSHUL</t>
        </is>
      </c>
      <c r="C54" s="17" t="inlineStr">
        <is>
          <t>JITENDRA</t>
        </is>
      </c>
      <c r="D54" s="17" t="inlineStr">
        <is>
          <t>PRASAD</t>
        </is>
      </c>
      <c r="E54" s="18" t="n">
        <v>33487</v>
      </c>
      <c r="F54" s="18" t="n">
        <v>40882</v>
      </c>
      <c r="G54" s="17" t="n">
        <v>5</v>
      </c>
      <c r="H54" s="17" t="inlineStr">
        <is>
          <t>Loc-1005</t>
        </is>
      </c>
      <c r="I54" s="17" t="inlineStr">
        <is>
          <t>CHENNAI</t>
        </is>
      </c>
      <c r="J54" s="17" t="inlineStr">
        <is>
          <t>79631550xx</t>
        </is>
      </c>
      <c r="K54" s="17" t="inlineStr">
        <is>
          <t>Dept-102</t>
        </is>
      </c>
      <c r="L54" s="17" t="inlineStr">
        <is>
          <t>HR</t>
        </is>
      </c>
      <c r="M54" s="17" t="inlineStr">
        <is>
          <t>ICWA</t>
        </is>
      </c>
      <c r="N54" s="17" t="inlineStr">
        <is>
          <t>Not Rated</t>
        </is>
      </c>
      <c r="O54" s="17" t="inlineStr">
        <is>
          <t>Male</t>
        </is>
      </c>
      <c r="P54" s="19" t="n">
        <v>127999.8</v>
      </c>
      <c r="Q54" s="17">
        <f>IF(N54="Very Poor","Terminate","")</f>
        <v/>
      </c>
      <c r="R54" s="20">
        <f>IF(N54="Very Good",P54*5%,0)</f>
        <v/>
      </c>
      <c r="S54" s="17">
        <f>IF(P54&lt;40000,"Low",IF(AND(P54&gt;=41000,P54&lt;=80000),"Mid",IF(P54&gt;80000,"High","")))</f>
        <v/>
      </c>
      <c r="T54" s="17">
        <f>IF(AND(L54="HR",I54="MUMBAI"),"Yes","No")</f>
        <v/>
      </c>
      <c r="U54" s="17">
        <f>IF(OR(L54="HR",L54="FINANCE"),"Yes","No")</f>
        <v/>
      </c>
      <c r="V54" s="21">
        <f>IF(N54="Very Good",15%,IF(N54="Good",12%,IF(N54="Average",10%,"Not applicable")))</f>
        <v/>
      </c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</row>
    <row r="55" ht="18.75" customHeight="1" s="23">
      <c r="A55" s="17" t="inlineStr">
        <is>
          <t>EMP-95520</t>
        </is>
      </c>
      <c r="B55" s="17" t="inlineStr">
        <is>
          <t>NEIL</t>
        </is>
      </c>
      <c r="C55" s="17" t="inlineStr">
        <is>
          <t>KAILASH</t>
        </is>
      </c>
      <c r="D55" s="17" t="inlineStr">
        <is>
          <t>PATIL</t>
        </is>
      </c>
      <c r="E55" s="18" t="n">
        <v>33578</v>
      </c>
      <c r="F55" s="18" t="n">
        <v>41218</v>
      </c>
      <c r="G55" s="17" t="n">
        <v>8</v>
      </c>
      <c r="H55" s="17" t="inlineStr">
        <is>
          <t>Loc-1004</t>
        </is>
      </c>
      <c r="I55" s="17" t="inlineStr">
        <is>
          <t>MUMBAI</t>
        </is>
      </c>
      <c r="J55" s="17" t="inlineStr">
        <is>
          <t>79658283xx</t>
        </is>
      </c>
      <c r="K55" s="17" t="inlineStr">
        <is>
          <t>Dept-105</t>
        </is>
      </c>
      <c r="L55" s="17" t="inlineStr">
        <is>
          <t>ADMIN</t>
        </is>
      </c>
      <c r="M55" s="17" t="inlineStr">
        <is>
          <t>PGDBM</t>
        </is>
      </c>
      <c r="N55" s="17" t="inlineStr">
        <is>
          <t>Very Good</t>
        </is>
      </c>
      <c r="O55" s="17" t="inlineStr">
        <is>
          <t>Male</t>
        </is>
      </c>
      <c r="P55" s="19" t="n">
        <v>68042.16</v>
      </c>
      <c r="Q55" s="17">
        <f>IF(N55="Very Poor","Terminate","")</f>
        <v/>
      </c>
      <c r="R55" s="20">
        <f>IF(N55="Very Good",P55*5%,0)</f>
        <v/>
      </c>
      <c r="S55" s="17">
        <f>IF(P55&lt;40000,"Low",IF(AND(P55&gt;=41000,P55&lt;=80000),"Mid",IF(P55&gt;80000,"High","")))</f>
        <v/>
      </c>
      <c r="T55" s="17">
        <f>IF(AND(L55="HR",I55="MUMBAI"),"Yes","No")</f>
        <v/>
      </c>
      <c r="U55" s="17">
        <f>IF(OR(L55="HR",L55="FINANCE"),"Yes","No")</f>
        <v/>
      </c>
      <c r="V55" s="21">
        <f>IF(N55="Very Good",15%,IF(N55="Good",12%,IF(N55="Average",10%,"Not applicable")))</f>
        <v/>
      </c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</row>
    <row r="56" ht="18.75" customHeight="1" s="23">
      <c r="A56" s="17" t="inlineStr">
        <is>
          <t>EMP-95557</t>
        </is>
      </c>
      <c r="B56" s="17" t="inlineStr">
        <is>
          <t>MURTAZA</t>
        </is>
      </c>
      <c r="C56" s="17" t="inlineStr">
        <is>
          <t>KAUR</t>
        </is>
      </c>
      <c r="D56" s="17" t="inlineStr">
        <is>
          <t>PARMAR</t>
        </is>
      </c>
      <c r="E56" s="18" t="n">
        <v>33609</v>
      </c>
      <c r="F56" s="18" t="n">
        <v>41187</v>
      </c>
      <c r="G56" s="17" t="n">
        <v>6</v>
      </c>
      <c r="H56" s="17" t="inlineStr">
        <is>
          <t>Loc-1005</t>
        </is>
      </c>
      <c r="I56" s="17" t="inlineStr">
        <is>
          <t>CHENNAI</t>
        </is>
      </c>
      <c r="J56" s="17" t="inlineStr">
        <is>
          <t>79667194xx</t>
        </is>
      </c>
      <c r="K56" s="17" t="inlineStr">
        <is>
          <t>Dept-101</t>
        </is>
      </c>
      <c r="L56" s="17" t="inlineStr">
        <is>
          <t>PRODUCTION</t>
        </is>
      </c>
      <c r="M56" s="17" t="inlineStr">
        <is>
          <t>BCOM</t>
        </is>
      </c>
      <c r="N56" s="17" t="inlineStr">
        <is>
          <t>Average</t>
        </is>
      </c>
      <c r="O56" s="17" t="inlineStr">
        <is>
          <t>Male</t>
        </is>
      </c>
      <c r="P56" s="19" t="n">
        <v>32027.49</v>
      </c>
      <c r="Q56" s="17">
        <f>IF(N56="Very Poor","Terminate","")</f>
        <v/>
      </c>
      <c r="R56" s="20">
        <f>IF(N56="Very Good",P56*5%,0)</f>
        <v/>
      </c>
      <c r="S56" s="17">
        <f>IF(P56&lt;40000,"Low",IF(AND(P56&gt;=41000,P56&lt;=80000),"Mid",IF(P56&gt;80000,"High","")))</f>
        <v/>
      </c>
      <c r="T56" s="17">
        <f>IF(AND(L56="HR",I56="MUMBAI"),"Yes","No")</f>
        <v/>
      </c>
      <c r="U56" s="17">
        <f>IF(OR(L56="HR",L56="FINANCE"),"Yes","No")</f>
        <v/>
      </c>
      <c r="V56" s="21">
        <f>IF(N56="Very Good",15%,IF(N56="Good",12%,IF(N56="Average",10%,"Not applicable")))</f>
        <v/>
      </c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</row>
    <row r="57" ht="18.75" customHeight="1" s="23">
      <c r="A57" s="17" t="inlineStr">
        <is>
          <t>EMP-95521</t>
        </is>
      </c>
      <c r="B57" s="17" t="inlineStr">
        <is>
          <t>MAYUR</t>
        </is>
      </c>
      <c r="C57" s="17" t="inlineStr">
        <is>
          <t>KAUSAR</t>
        </is>
      </c>
      <c r="D57" s="17" t="inlineStr">
        <is>
          <t>PARDESHI</t>
        </is>
      </c>
      <c r="E57" s="18" t="n">
        <v>33640</v>
      </c>
      <c r="F57" s="18" t="n">
        <v>41157</v>
      </c>
      <c r="G57" s="17" t="n">
        <v>7</v>
      </c>
      <c r="H57" s="17" t="inlineStr">
        <is>
          <t>Loc-1004</t>
        </is>
      </c>
      <c r="I57" s="17" t="inlineStr">
        <is>
          <t>MUMBAI</t>
        </is>
      </c>
      <c r="J57" s="17" t="inlineStr">
        <is>
          <t>79676104xx</t>
        </is>
      </c>
      <c r="K57" s="17" t="inlineStr">
        <is>
          <t>Dept-105</t>
        </is>
      </c>
      <c r="L57" s="17" t="inlineStr">
        <is>
          <t>ADMIN</t>
        </is>
      </c>
      <c r="M57" s="17" t="inlineStr">
        <is>
          <t>MBA</t>
        </is>
      </c>
      <c r="N57" s="17" t="inlineStr">
        <is>
          <t>Poor</t>
        </is>
      </c>
      <c r="O57" s="17" t="inlineStr">
        <is>
          <t>Male</t>
        </is>
      </c>
      <c r="P57" s="19" t="n">
        <v>113998.77</v>
      </c>
      <c r="Q57" s="17">
        <f>IF(N57="Very Poor","Terminate","")</f>
        <v/>
      </c>
      <c r="R57" s="20">
        <f>IF(N57="Very Good",P57*5%,0)</f>
        <v/>
      </c>
      <c r="S57" s="17">
        <f>IF(P57&lt;40000,"Low",IF(AND(P57&gt;=41000,P57&lt;=80000),"Mid",IF(P57&gt;80000,"High","")))</f>
        <v/>
      </c>
      <c r="T57" s="17">
        <f>IF(AND(L57="HR",I57="MUMBAI"),"Yes","No")</f>
        <v/>
      </c>
      <c r="U57" s="17">
        <f>IF(OR(L57="HR",L57="FINANCE"),"Yes","No")</f>
        <v/>
      </c>
      <c r="V57" s="21">
        <f>IF(N57="Very Good",15%,IF(N57="Good",12%,IF(N57="Average",10%,"Not applicable")))</f>
        <v/>
      </c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</row>
    <row r="58" ht="18.75" customHeight="1" s="23">
      <c r="A58" s="17" t="inlineStr">
        <is>
          <t>EMP-95558</t>
        </is>
      </c>
      <c r="B58" s="17" t="inlineStr">
        <is>
          <t>MANAS</t>
        </is>
      </c>
      <c r="C58" s="17" t="inlineStr">
        <is>
          <t>KHANDU</t>
        </is>
      </c>
      <c r="D58" s="17" t="inlineStr">
        <is>
          <t>PARAKH</t>
        </is>
      </c>
      <c r="E58" s="18" t="n">
        <v>33669</v>
      </c>
      <c r="F58" s="18" t="n">
        <v>41126</v>
      </c>
      <c r="G58" s="17" t="n">
        <v>8</v>
      </c>
      <c r="H58" s="17" t="inlineStr">
        <is>
          <t>Loc-1005</t>
        </is>
      </c>
      <c r="I58" s="17" t="inlineStr">
        <is>
          <t>CHENNAI</t>
        </is>
      </c>
      <c r="J58" s="17" t="inlineStr">
        <is>
          <t>79685015xx</t>
        </is>
      </c>
      <c r="K58" s="17" t="inlineStr">
        <is>
          <t>Dept-103</t>
        </is>
      </c>
      <c r="L58" s="17" t="inlineStr">
        <is>
          <t>FINANCE</t>
        </is>
      </c>
      <c r="M58" s="17" t="inlineStr">
        <is>
          <t>Msc</t>
        </is>
      </c>
      <c r="N58" s="17" t="inlineStr">
        <is>
          <t>Poor</t>
        </is>
      </c>
      <c r="O58" s="17" t="inlineStr">
        <is>
          <t>Male</t>
        </is>
      </c>
      <c r="P58" s="19" t="n">
        <v>88603.83</v>
      </c>
      <c r="Q58" s="17">
        <f>IF(N58="Very Poor","Terminate","")</f>
        <v/>
      </c>
      <c r="R58" s="20">
        <f>IF(N58="Very Good",P58*5%,0)</f>
        <v/>
      </c>
      <c r="S58" s="17">
        <f>IF(P58&lt;40000,"Low",IF(AND(P58&gt;=41000,P58&lt;=80000),"Mid",IF(P58&gt;80000,"High","")))</f>
        <v/>
      </c>
      <c r="T58" s="17">
        <f>IF(AND(L58="HR",I58="MUMBAI"),"Yes","No")</f>
        <v/>
      </c>
      <c r="U58" s="17">
        <f>IF(OR(L58="HR",L58="FINANCE"),"Yes","No")</f>
        <v/>
      </c>
      <c r="V58" s="21">
        <f>IF(N58="Very Good",15%,IF(N58="Good",12%,IF(N58="Average",10%,"Not applicable")))</f>
        <v/>
      </c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</row>
    <row r="59" ht="18.75" customHeight="1" s="23">
      <c r="A59" s="17" t="inlineStr">
        <is>
          <t>EMP-95450</t>
        </is>
      </c>
      <c r="B59" s="17" t="inlineStr">
        <is>
          <t>MADHURA</t>
        </is>
      </c>
      <c r="C59" s="17" t="inlineStr">
        <is>
          <t>Kshirsagar</t>
        </is>
      </c>
      <c r="D59" s="17" t="inlineStr">
        <is>
          <t>PANDIT</t>
        </is>
      </c>
      <c r="E59" s="18" t="n">
        <v>33700</v>
      </c>
      <c r="F59" s="18" t="n">
        <v>41095</v>
      </c>
      <c r="G59" s="17" t="n">
        <v>5</v>
      </c>
      <c r="H59" s="17" t="inlineStr">
        <is>
          <t>Loc-1001</t>
        </is>
      </c>
      <c r="I59" s="17" t="inlineStr">
        <is>
          <t>DELHI</t>
        </is>
      </c>
      <c r="J59" s="17" t="inlineStr">
        <is>
          <t>79693926xx</t>
        </is>
      </c>
      <c r="K59" s="17" t="inlineStr">
        <is>
          <t>Dept-103</t>
        </is>
      </c>
      <c r="L59" s="17" t="inlineStr">
        <is>
          <t>FINANCE</t>
        </is>
      </c>
      <c r="M59" s="17" t="inlineStr">
        <is>
          <t>CA</t>
        </is>
      </c>
      <c r="N59" s="17" t="inlineStr">
        <is>
          <t>Very Poor</t>
        </is>
      </c>
      <c r="O59" s="17" t="inlineStr">
        <is>
          <t>Female</t>
        </is>
      </c>
      <c r="P59" s="19" t="n">
        <v>78724.62000000001</v>
      </c>
      <c r="Q59" s="17">
        <f>IF(N59="Very Poor","Terminate","")</f>
        <v/>
      </c>
      <c r="R59" s="20">
        <f>IF(N59="Very Good",P59*5%,0)</f>
        <v/>
      </c>
      <c r="S59" s="17">
        <f>IF(P59&lt;40000,"Low",IF(AND(P59&gt;=41000,P59&lt;=80000),"Mid",IF(P59&gt;80000,"High","")))</f>
        <v/>
      </c>
      <c r="T59" s="17">
        <f>IF(AND(L59="HR",I59="MUMBAI"),"Yes","No")</f>
        <v/>
      </c>
      <c r="U59" s="17">
        <f>IF(OR(L59="HR",L59="FINANCE"),"Yes","No")</f>
        <v/>
      </c>
      <c r="V59" s="21">
        <f>IF(N59="Very Good",15%,IF(N59="Good",12%,IF(N59="Average",10%,"Not applicable")))</f>
        <v/>
      </c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</row>
    <row r="60" ht="18.75" customHeight="1" s="23">
      <c r="A60" s="17" t="inlineStr">
        <is>
          <t>EMP-95468</t>
        </is>
      </c>
      <c r="B60" s="17" t="inlineStr">
        <is>
          <t>KAWALJEET</t>
        </is>
      </c>
      <c r="C60" s="17" t="inlineStr">
        <is>
          <t>KUMAR</t>
        </is>
      </c>
      <c r="D60" s="17" t="inlineStr">
        <is>
          <t>PALAN</t>
        </is>
      </c>
      <c r="E60" s="18" t="n">
        <v>33730</v>
      </c>
      <c r="F60" s="18" t="n">
        <v>41065</v>
      </c>
      <c r="G60" s="17" t="n">
        <v>6</v>
      </c>
      <c r="H60" s="17" t="inlineStr">
        <is>
          <t>Loc-1002</t>
        </is>
      </c>
      <c r="I60" s="17" t="inlineStr">
        <is>
          <t>BANGALORE</t>
        </is>
      </c>
      <c r="J60" s="17" t="inlineStr">
        <is>
          <t>79702837xx</t>
        </is>
      </c>
      <c r="K60" s="17" t="inlineStr">
        <is>
          <t>Dept-104</t>
        </is>
      </c>
      <c r="L60" s="17" t="inlineStr">
        <is>
          <t>MARKETING</t>
        </is>
      </c>
      <c r="M60" s="17" t="inlineStr">
        <is>
          <t>MBA</t>
        </is>
      </c>
      <c r="N60" s="17" t="inlineStr">
        <is>
          <t>Average</t>
        </is>
      </c>
      <c r="O60" s="17" t="inlineStr">
        <is>
          <t>Female</t>
        </is>
      </c>
      <c r="P60" s="19" t="n">
        <v>20962.53</v>
      </c>
      <c r="Q60" s="17">
        <f>IF(N60="Very Poor","Terminate","")</f>
        <v/>
      </c>
      <c r="R60" s="20">
        <f>IF(N60="Very Good",P60*5%,0)</f>
        <v/>
      </c>
      <c r="S60" s="17">
        <f>IF(P60&lt;40000,"Low",IF(AND(P60&gt;=41000,P60&lt;=80000),"Mid",IF(P60&gt;80000,"High","")))</f>
        <v/>
      </c>
      <c r="T60" s="17">
        <f>IF(AND(L60="HR",I60="MUMBAI"),"Yes","No")</f>
        <v/>
      </c>
      <c r="U60" s="17">
        <f>IF(OR(L60="HR",L60="FINANCE"),"Yes","No")</f>
        <v/>
      </c>
      <c r="V60" s="21">
        <f>IF(N60="Very Good",15%,IF(N60="Good",12%,IF(N60="Average",10%,"Not applicable")))</f>
        <v/>
      </c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</row>
    <row r="61" ht="18.75" customHeight="1" s="23">
      <c r="A61" s="17" t="inlineStr">
        <is>
          <t>EMP-95489</t>
        </is>
      </c>
      <c r="B61" s="17" t="inlineStr">
        <is>
          <t>KALPESH</t>
        </is>
      </c>
      <c r="C61" s="17" t="inlineStr">
        <is>
          <t>LAXMAN</t>
        </is>
      </c>
      <c r="D61" s="17" t="inlineStr">
        <is>
          <t>OSWAL</t>
        </is>
      </c>
      <c r="E61" s="18" t="n">
        <v>33761</v>
      </c>
      <c r="F61" s="18" t="n">
        <v>41034</v>
      </c>
      <c r="G61" s="17" t="n">
        <v>7</v>
      </c>
      <c r="H61" s="17" t="inlineStr">
        <is>
          <t>Loc-1003</t>
        </is>
      </c>
      <c r="I61" s="17" t="inlineStr">
        <is>
          <t>NAGPUR</t>
        </is>
      </c>
      <c r="J61" s="17" t="inlineStr">
        <is>
          <t>79711748xx</t>
        </is>
      </c>
      <c r="K61" s="17" t="inlineStr">
        <is>
          <t>Dept-101</t>
        </is>
      </c>
      <c r="L61" s="17" t="inlineStr">
        <is>
          <t>PRODUCTION</t>
        </is>
      </c>
      <c r="M61" s="17" t="inlineStr">
        <is>
          <t>B.E</t>
        </is>
      </c>
      <c r="N61" s="17" t="inlineStr">
        <is>
          <t>Not Rated</t>
        </is>
      </c>
      <c r="O61" s="17" t="inlineStr">
        <is>
          <t>Male</t>
        </is>
      </c>
      <c r="P61" s="19" t="inlineStr"/>
      <c r="Q61" s="17">
        <f>IF(N61="Very Poor","Terminate","")</f>
        <v/>
      </c>
      <c r="R61" s="20">
        <f>IF(N61="Very Good",P61*5%,0)</f>
        <v/>
      </c>
      <c r="S61" s="17">
        <f>IF(P61&lt;40000,"Low",IF(AND(P61&gt;=41000,P61&lt;=80000),"Mid",IF(P61&gt;80000,"High","")))</f>
        <v/>
      </c>
      <c r="T61" s="17">
        <f>IF(AND(L61="HR",I61="MUMBAI"),"Yes","No")</f>
        <v/>
      </c>
      <c r="U61" s="17">
        <f>IF(OR(L61="HR",L61="FINANCE"),"Yes","No")</f>
        <v/>
      </c>
      <c r="V61" s="21">
        <f>IF(N61="Very Good",15%,IF(N61="Good",12%,IF(N61="Average",10%,"Not applicable")))</f>
        <v/>
      </c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</row>
    <row r="62" ht="18.75" customHeight="1" s="23">
      <c r="A62" s="17" t="inlineStr">
        <is>
          <t>EMP-95522</t>
        </is>
      </c>
      <c r="B62" s="17" t="inlineStr">
        <is>
          <t>GOVIND</t>
        </is>
      </c>
      <c r="C62" s="17" t="inlineStr">
        <is>
          <t>M</t>
        </is>
      </c>
      <c r="D62" s="17" t="inlineStr">
        <is>
          <t>NOTANI</t>
        </is>
      </c>
      <c r="E62" s="18" t="n">
        <v>33791</v>
      </c>
      <c r="F62" s="18" t="n">
        <v>41004</v>
      </c>
      <c r="G62" s="17" t="n">
        <v>8</v>
      </c>
      <c r="H62" s="17" t="inlineStr">
        <is>
          <t>Loc-1004</t>
        </is>
      </c>
      <c r="I62" s="17" t="inlineStr">
        <is>
          <t>MUMBAI</t>
        </is>
      </c>
      <c r="J62" s="17" t="inlineStr">
        <is>
          <t>79720659xx</t>
        </is>
      </c>
      <c r="K62" s="17" t="inlineStr">
        <is>
          <t>Dept-105</t>
        </is>
      </c>
      <c r="L62" s="17" t="inlineStr">
        <is>
          <t>ADMIN</t>
        </is>
      </c>
      <c r="M62" s="17" t="inlineStr">
        <is>
          <t>B.E</t>
        </is>
      </c>
      <c r="N62" s="17" t="inlineStr">
        <is>
          <t>Good</t>
        </is>
      </c>
      <c r="O62" s="17" t="inlineStr">
        <is>
          <t>Male</t>
        </is>
      </c>
      <c r="P62" s="19" t="inlineStr"/>
      <c r="Q62" s="17">
        <f>IF(N62="Very Poor","Terminate","")</f>
        <v/>
      </c>
      <c r="R62" s="20">
        <f>IF(N62="Very Good",P62*5%,0)</f>
        <v/>
      </c>
      <c r="S62" s="17">
        <f>IF(P62&lt;40000,"Low",IF(AND(P62&gt;=41000,P62&lt;=80000),"Mid",IF(P62&gt;80000,"High","")))</f>
        <v/>
      </c>
      <c r="T62" s="17">
        <f>IF(AND(L62="HR",I62="MUMBAI"),"Yes","No")</f>
        <v/>
      </c>
      <c r="U62" s="17">
        <f>IF(OR(L62="HR",L62="FINANCE"),"Yes","No")</f>
        <v/>
      </c>
      <c r="V62" s="21">
        <f>IF(N62="Very Good",15%,IF(N62="Good",12%,IF(N62="Average",10%,"Not applicable")))</f>
        <v/>
      </c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</row>
    <row r="63" ht="18.75" customHeight="1" s="23">
      <c r="A63" s="17" t="inlineStr">
        <is>
          <t>EMP-95469</t>
        </is>
      </c>
      <c r="B63" s="17" t="inlineStr">
        <is>
          <t>DEVIKA</t>
        </is>
      </c>
      <c r="C63" s="17" t="inlineStr">
        <is>
          <t>MADAN</t>
        </is>
      </c>
      <c r="D63" s="17" t="inlineStr">
        <is>
          <t>MURTHY</t>
        </is>
      </c>
      <c r="E63" s="18" t="n">
        <v>33853</v>
      </c>
      <c r="F63" s="18" t="n">
        <v>40944</v>
      </c>
      <c r="G63" s="17" t="n">
        <v>7</v>
      </c>
      <c r="H63" s="17" t="inlineStr">
        <is>
          <t>Loc-1002</t>
        </is>
      </c>
      <c r="I63" s="17" t="inlineStr">
        <is>
          <t>BANGALORE</t>
        </is>
      </c>
      <c r="J63" s="17" t="inlineStr">
        <is>
          <t>79738481xx</t>
        </is>
      </c>
      <c r="K63" s="17" t="inlineStr">
        <is>
          <t>Dept-105</t>
        </is>
      </c>
      <c r="L63" s="17" t="inlineStr">
        <is>
          <t>ADMIN</t>
        </is>
      </c>
      <c r="M63" s="17" t="inlineStr">
        <is>
          <t>M.E</t>
        </is>
      </c>
      <c r="N63" s="17" t="inlineStr">
        <is>
          <t>Average</t>
        </is>
      </c>
      <c r="O63" s="17" t="inlineStr">
        <is>
          <t>Female</t>
        </is>
      </c>
      <c r="P63" s="19" t="n">
        <v>98689.59</v>
      </c>
      <c r="Q63" s="17">
        <f>IF(N63="Very Poor","Terminate","")</f>
        <v/>
      </c>
      <c r="R63" s="20">
        <f>IF(N63="Very Good",P63*5%,0)</f>
        <v/>
      </c>
      <c r="S63" s="17">
        <f>IF(P63&lt;40000,"Low",IF(AND(P63&gt;=41000,P63&lt;=80000),"Mid",IF(P63&gt;80000,"High","")))</f>
        <v/>
      </c>
      <c r="T63" s="17">
        <f>IF(AND(L63="HR",I63="MUMBAI"),"Yes","No")</f>
        <v/>
      </c>
      <c r="U63" s="17">
        <f>IF(OR(L63="HR",L63="FINANCE"),"Yes","No")</f>
        <v/>
      </c>
      <c r="V63" s="21">
        <f>IF(N63="Very Good",15%,IF(N63="Good",12%,IF(N63="Average",10%,"Not applicable")))</f>
        <v/>
      </c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</row>
    <row r="64" ht="18.75" customHeight="1" s="23">
      <c r="A64" s="17" t="inlineStr">
        <is>
          <t>EMP-95451</t>
        </is>
      </c>
      <c r="B64" s="17" t="inlineStr">
        <is>
          <t>DISHA</t>
        </is>
      </c>
      <c r="C64" s="17" t="inlineStr">
        <is>
          <t>MADAN</t>
        </is>
      </c>
      <c r="D64" s="17" t="inlineStr">
        <is>
          <t>NAIK</t>
        </is>
      </c>
      <c r="E64" s="18" t="n">
        <v>33822</v>
      </c>
      <c r="F64" s="18" t="n">
        <v>40973</v>
      </c>
      <c r="G64" s="17" t="n">
        <v>6</v>
      </c>
      <c r="H64" s="17" t="inlineStr">
        <is>
          <t>Loc-1001</t>
        </is>
      </c>
      <c r="I64" s="17" t="inlineStr">
        <is>
          <t>DELHI</t>
        </is>
      </c>
      <c r="J64" s="17" t="inlineStr">
        <is>
          <t>79729570xx</t>
        </is>
      </c>
      <c r="K64" s="17" t="inlineStr">
        <is>
          <t>Dept-104</t>
        </is>
      </c>
      <c r="L64" s="17" t="inlineStr">
        <is>
          <t>MARKETING</t>
        </is>
      </c>
      <c r="M64" s="17" t="inlineStr">
        <is>
          <t>MBA</t>
        </is>
      </c>
      <c r="N64" s="17" t="inlineStr">
        <is>
          <t>Good</t>
        </is>
      </c>
      <c r="O64" s="17" t="inlineStr">
        <is>
          <t>Female</t>
        </is>
      </c>
      <c r="P64" s="19" t="n">
        <v>53813.16</v>
      </c>
      <c r="Q64" s="17">
        <f>IF(N64="Very Poor","Terminate","")</f>
        <v/>
      </c>
      <c r="R64" s="20">
        <f>IF(N64="Very Good",P64*5%,0)</f>
        <v/>
      </c>
      <c r="S64" s="17">
        <f>IF(P64&lt;40000,"Low",IF(AND(P64&gt;=41000,P64&lt;=80000),"Mid",IF(P64&gt;80000,"High","")))</f>
        <v/>
      </c>
      <c r="T64" s="17">
        <f>IF(AND(L64="HR",I64="MUMBAI"),"Yes","No")</f>
        <v/>
      </c>
      <c r="U64" s="17">
        <f>IF(OR(L64="HR",L64="FINANCE"),"Yes","No")</f>
        <v/>
      </c>
      <c r="V64" s="21">
        <f>IF(N64="Very Good",15%,IF(N64="Good",12%,IF(N64="Average",10%,"Not applicable")))</f>
        <v/>
      </c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</row>
    <row r="65" ht="18.75" customHeight="1" s="23">
      <c r="A65" s="17" t="inlineStr">
        <is>
          <t>EMP-95490</t>
        </is>
      </c>
      <c r="B65" s="17" t="inlineStr">
        <is>
          <t>DARSHAN</t>
        </is>
      </c>
      <c r="C65" s="17" t="inlineStr">
        <is>
          <t>MADHAVRAO</t>
        </is>
      </c>
      <c r="D65" s="17" t="inlineStr">
        <is>
          <t>MUNDADA</t>
        </is>
      </c>
      <c r="E65" s="18" t="n">
        <v>33883</v>
      </c>
      <c r="F65" s="18" t="n">
        <v>40913</v>
      </c>
      <c r="G65" s="17" t="n">
        <v>8</v>
      </c>
      <c r="H65" s="17" t="inlineStr">
        <is>
          <t>Loc-1003</t>
        </is>
      </c>
      <c r="I65" s="17" t="inlineStr">
        <is>
          <t>NAGPUR</t>
        </is>
      </c>
      <c r="J65" s="17" t="inlineStr">
        <is>
          <t>79747392xx</t>
        </is>
      </c>
      <c r="K65" s="17" t="inlineStr">
        <is>
          <t>Dept-101</t>
        </is>
      </c>
      <c r="L65" s="17" t="inlineStr">
        <is>
          <t>PRODUCTION</t>
        </is>
      </c>
      <c r="M65" s="17" t="inlineStr">
        <is>
          <t>MBA</t>
        </is>
      </c>
      <c r="N65" s="17" t="inlineStr">
        <is>
          <t>Not Rated</t>
        </is>
      </c>
      <c r="O65" s="17" t="inlineStr">
        <is>
          <t>Male</t>
        </is>
      </c>
      <c r="P65" s="19" t="n">
        <v>126117.9</v>
      </c>
      <c r="Q65" s="17">
        <f>IF(N65="Very Poor","Terminate","")</f>
        <v/>
      </c>
      <c r="R65" s="20">
        <f>IF(N65="Very Good",P65*5%,0)</f>
        <v/>
      </c>
      <c r="S65" s="17">
        <f>IF(P65&lt;40000,"Low",IF(AND(P65&gt;=41000,P65&lt;=80000),"Mid",IF(P65&gt;80000,"High","")))</f>
        <v/>
      </c>
      <c r="T65" s="17">
        <f>IF(AND(L65="HR",I65="MUMBAI"),"Yes","No")</f>
        <v/>
      </c>
      <c r="U65" s="17">
        <f>IF(OR(L65="HR",L65="FINANCE"),"Yes","No")</f>
        <v/>
      </c>
      <c r="V65" s="21">
        <f>IF(N65="Very Good",15%,IF(N65="Good",12%,IF(N65="Average",10%,"Not applicable")))</f>
        <v/>
      </c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</row>
    <row r="66" ht="18.75" customHeight="1" s="23">
      <c r="A66" s="17" t="inlineStr">
        <is>
          <t>EMP-95523</t>
        </is>
      </c>
      <c r="B66" s="17" t="inlineStr">
        <is>
          <t>CHAITANYA</t>
        </is>
      </c>
      <c r="C66" s="17" t="inlineStr">
        <is>
          <t>MAHAVIR</t>
        </is>
      </c>
      <c r="D66" s="17" t="inlineStr">
        <is>
          <t>MULIK</t>
        </is>
      </c>
      <c r="E66" s="18" t="n">
        <v>33914</v>
      </c>
      <c r="F66" s="18" t="n">
        <v>40882</v>
      </c>
      <c r="G66" s="17" t="n">
        <v>5</v>
      </c>
      <c r="H66" s="17" t="inlineStr">
        <is>
          <t>Loc-1004</t>
        </is>
      </c>
      <c r="I66" s="17" t="inlineStr">
        <is>
          <t>MUMBAI</t>
        </is>
      </c>
      <c r="J66" s="17" t="inlineStr">
        <is>
          <t>79756303xx</t>
        </is>
      </c>
      <c r="K66" s="17" t="inlineStr">
        <is>
          <t>Dept-103</t>
        </is>
      </c>
      <c r="L66" s="17" t="inlineStr">
        <is>
          <t>FINANCE</t>
        </is>
      </c>
      <c r="M66" s="17" t="inlineStr">
        <is>
          <t>MCOM</t>
        </is>
      </c>
      <c r="N66" s="17" t="inlineStr">
        <is>
          <t>Poor</t>
        </is>
      </c>
      <c r="O66" s="17" t="inlineStr">
        <is>
          <t>Male</t>
        </is>
      </c>
      <c r="P66" s="19" t="n">
        <v>15809.49</v>
      </c>
      <c r="Q66" s="17">
        <f>IF(N66="Very Poor","Terminate","")</f>
        <v/>
      </c>
      <c r="R66" s="20">
        <f>IF(N66="Very Good",P66*5%,0)</f>
        <v/>
      </c>
      <c r="S66" s="17">
        <f>IF(P66&lt;40000,"Low",IF(AND(P66&gt;=41000,P66&lt;=80000),"Mid",IF(P66&gt;80000,"High","")))</f>
        <v/>
      </c>
      <c r="T66" s="17">
        <f>IF(AND(L66="HR",I66="MUMBAI"),"Yes","No")</f>
        <v/>
      </c>
      <c r="U66" s="17">
        <f>IF(OR(L66="HR",L66="FINANCE"),"Yes","No")</f>
        <v/>
      </c>
      <c r="V66" s="21">
        <f>IF(N66="Very Good",15%,IF(N66="Good",12%,IF(N66="Average",10%,"Not applicable")))</f>
        <v/>
      </c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</row>
    <row r="67" ht="18.75" customHeight="1" s="23">
      <c r="A67" s="17" t="inlineStr">
        <is>
          <t>EMP-95580</t>
        </is>
      </c>
      <c r="B67" s="17" t="inlineStr">
        <is>
          <t>ANOUSHKA</t>
        </is>
      </c>
      <c r="C67" s="17" t="inlineStr">
        <is>
          <t>MAHESH</t>
        </is>
      </c>
      <c r="D67" s="17" t="inlineStr">
        <is>
          <t>MIRAJKAR</t>
        </is>
      </c>
      <c r="E67" s="18" t="n">
        <v>33975</v>
      </c>
      <c r="F67" s="18" t="n">
        <v>40821</v>
      </c>
      <c r="G67" s="17" t="n">
        <v>7</v>
      </c>
      <c r="H67" s="17" t="inlineStr">
        <is>
          <t>Loc-1006</t>
        </is>
      </c>
      <c r="I67" s="17" t="inlineStr">
        <is>
          <t>PUNE</t>
        </is>
      </c>
      <c r="J67" s="17" t="inlineStr">
        <is>
          <t>79774124xx</t>
        </is>
      </c>
      <c r="K67" s="17" t="inlineStr">
        <is>
          <t>Dept-101</t>
        </is>
      </c>
      <c r="L67" s="17" t="inlineStr">
        <is>
          <t>PRODUCTION</t>
        </is>
      </c>
      <c r="M67" s="17" t="inlineStr">
        <is>
          <t>MBA</t>
        </is>
      </c>
      <c r="N67" s="17" t="inlineStr">
        <is>
          <t>Average</t>
        </is>
      </c>
      <c r="O67" s="17" t="inlineStr">
        <is>
          <t>Female</t>
        </is>
      </c>
      <c r="P67" s="19" t="n">
        <v>103363.74</v>
      </c>
      <c r="Q67" s="17">
        <f>IF(N67="Very Poor","Terminate","")</f>
        <v/>
      </c>
      <c r="R67" s="20">
        <f>IF(N67="Very Good",P67*5%,0)</f>
        <v/>
      </c>
      <c r="S67" s="17">
        <f>IF(P67&lt;40000,"Low",IF(AND(P67&gt;=41000,P67&lt;=80000),"Mid",IF(P67&gt;80000,"High","")))</f>
        <v/>
      </c>
      <c r="T67" s="17">
        <f>IF(AND(L67="HR",I67="MUMBAI"),"Yes","No")</f>
        <v/>
      </c>
      <c r="U67" s="17">
        <f>IF(OR(L67="HR",L67="FINANCE"),"Yes","No")</f>
        <v/>
      </c>
      <c r="V67" s="21">
        <f>IF(N67="Very Good",15%,IF(N67="Good",12%,IF(N67="Average",10%,"Not applicable")))</f>
        <v/>
      </c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</row>
    <row r="68" ht="18.75" customHeight="1" s="23">
      <c r="A68" s="17" t="inlineStr">
        <is>
          <t>EMP-95559</t>
        </is>
      </c>
      <c r="B68" s="17" t="inlineStr">
        <is>
          <t>BHAVESH</t>
        </is>
      </c>
      <c r="C68" s="17" t="inlineStr">
        <is>
          <t>MAHESH</t>
        </is>
      </c>
      <c r="D68" s="17" t="inlineStr">
        <is>
          <t>MORE</t>
        </is>
      </c>
      <c r="E68" s="18" t="n">
        <v>33944</v>
      </c>
      <c r="F68" s="18" t="n">
        <v>40852</v>
      </c>
      <c r="G68" s="17" t="n">
        <v>6</v>
      </c>
      <c r="H68" s="17" t="inlineStr">
        <is>
          <t>Loc-1005</t>
        </is>
      </c>
      <c r="I68" s="17" t="inlineStr">
        <is>
          <t>CHENNAI</t>
        </is>
      </c>
      <c r="J68" s="17" t="inlineStr">
        <is>
          <t>79765213xx</t>
        </is>
      </c>
      <c r="K68" s="17" t="inlineStr">
        <is>
          <t>Dept-101</t>
        </is>
      </c>
      <c r="L68" s="17" t="inlineStr">
        <is>
          <t>PRODUCTION</t>
        </is>
      </c>
      <c r="M68" s="17" t="inlineStr">
        <is>
          <t>PGDBM</t>
        </is>
      </c>
      <c r="N68" s="17" t="inlineStr">
        <is>
          <t>Good</t>
        </is>
      </c>
      <c r="O68" s="17" t="inlineStr">
        <is>
          <t>Male</t>
        </is>
      </c>
      <c r="P68" s="19" t="n">
        <v>99038.42999999999</v>
      </c>
      <c r="Q68" s="17">
        <f>IF(N68="Very Poor","Terminate","")</f>
        <v/>
      </c>
      <c r="R68" s="20">
        <f>IF(N68="Very Good",P68*5%,0)</f>
        <v/>
      </c>
      <c r="S68" s="17">
        <f>IF(P68&lt;40000,"Low",IF(AND(P68&gt;=41000,P68&lt;=80000),"Mid",IF(P68&gt;80000,"High","")))</f>
        <v/>
      </c>
      <c r="T68" s="17">
        <f>IF(AND(L68="HR",I68="MUMBAI"),"Yes","No")</f>
        <v/>
      </c>
      <c r="U68" s="17">
        <f>IF(OR(L68="HR",L68="FINANCE"),"Yes","No")</f>
        <v/>
      </c>
      <c r="V68" s="21">
        <f>IF(N68="Very Good",15%,IF(N68="Good",12%,IF(N68="Average",10%,"Not applicable")))</f>
        <v/>
      </c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</row>
    <row r="69" ht="18.75" customHeight="1" s="23">
      <c r="A69" s="17" t="inlineStr">
        <is>
          <t>EMP-95560</t>
        </is>
      </c>
      <c r="B69" s="17" t="inlineStr">
        <is>
          <t>ANJALI</t>
        </is>
      </c>
      <c r="C69" s="17" t="inlineStr">
        <is>
          <t>MAHESHWARI</t>
        </is>
      </c>
      <c r="D69" s="17" t="inlineStr">
        <is>
          <t>MANGLANI</t>
        </is>
      </c>
      <c r="E69" s="18" t="n">
        <v>34006</v>
      </c>
      <c r="F69" s="18" t="n">
        <v>40791</v>
      </c>
      <c r="G69" s="17" t="n">
        <v>8</v>
      </c>
      <c r="H69" s="17" t="inlineStr">
        <is>
          <t>Loc-1005</t>
        </is>
      </c>
      <c r="I69" s="17" t="inlineStr">
        <is>
          <t>CHENNAI</t>
        </is>
      </c>
      <c r="J69" s="17" t="inlineStr">
        <is>
          <t>79783035xx</t>
        </is>
      </c>
      <c r="K69" s="17" t="inlineStr">
        <is>
          <t>Dept-103</t>
        </is>
      </c>
      <c r="L69" s="17" t="inlineStr">
        <is>
          <t>FINANCE</t>
        </is>
      </c>
      <c r="M69" s="17" t="inlineStr">
        <is>
          <t>MBA</t>
        </is>
      </c>
      <c r="N69" s="17" t="inlineStr">
        <is>
          <t>Very Good</t>
        </is>
      </c>
      <c r="O69" s="17" t="inlineStr">
        <is>
          <t>Female</t>
        </is>
      </c>
      <c r="P69" s="19" t="n">
        <v>103172.49</v>
      </c>
      <c r="Q69" s="17">
        <f>IF(N69="Very Poor","Terminate","")</f>
        <v/>
      </c>
      <c r="R69" s="20">
        <f>IF(N69="Very Good",P69*5%,0)</f>
        <v/>
      </c>
      <c r="S69" s="17">
        <f>IF(P69&lt;40000,"Low",IF(AND(P69&gt;=41000,P69&lt;=80000),"Mid",IF(P69&gt;80000,"High","")))</f>
        <v/>
      </c>
      <c r="T69" s="17">
        <f>IF(AND(L69="HR",I69="MUMBAI"),"Yes","No")</f>
        <v/>
      </c>
      <c r="U69" s="17">
        <f>IF(OR(L69="HR",L69="FINANCE"),"Yes","No")</f>
        <v/>
      </c>
      <c r="V69" s="21">
        <f>IF(N69="Very Good",15%,IF(N69="Good",12%,IF(N69="Average",10%,"Not applicable")))</f>
        <v/>
      </c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</row>
    <row r="70" ht="18.75" customHeight="1" s="23">
      <c r="A70" s="17" t="inlineStr">
        <is>
          <t>EMP-95581</t>
        </is>
      </c>
      <c r="B70" s="17" t="inlineStr">
        <is>
          <t>ANAGHA</t>
        </is>
      </c>
      <c r="C70" s="17" t="inlineStr">
        <is>
          <t>MANISH</t>
        </is>
      </c>
      <c r="D70" s="17" t="inlineStr">
        <is>
          <t>MANGHARAMANI</t>
        </is>
      </c>
      <c r="E70" s="18" t="n">
        <v>34034</v>
      </c>
      <c r="F70" s="18" t="n">
        <v>40760</v>
      </c>
      <c r="G70" s="17" t="n">
        <v>6</v>
      </c>
      <c r="H70" s="17" t="inlineStr">
        <is>
          <t>Loc-1006</t>
        </is>
      </c>
      <c r="I70" s="17" t="inlineStr">
        <is>
          <t>PUNE</t>
        </is>
      </c>
      <c r="J70" s="17" t="inlineStr">
        <is>
          <t>79791946xx</t>
        </is>
      </c>
      <c r="K70" s="17" t="inlineStr">
        <is>
          <t>Dept-101</t>
        </is>
      </c>
      <c r="L70" s="17" t="inlineStr">
        <is>
          <t>PRODUCTION</t>
        </is>
      </c>
      <c r="M70" s="17" t="inlineStr">
        <is>
          <t>ICWA</t>
        </is>
      </c>
      <c r="N70" s="17" t="inlineStr">
        <is>
          <t>Good</t>
        </is>
      </c>
      <c r="O70" s="17" t="inlineStr">
        <is>
          <t>Female</t>
        </is>
      </c>
      <c r="P70" s="19" t="n">
        <v>93077.55</v>
      </c>
      <c r="Q70" s="17">
        <f>IF(N70="Very Poor","Terminate","")</f>
        <v/>
      </c>
      <c r="R70" s="20">
        <f>IF(N70="Very Good",P70*5%,0)</f>
        <v/>
      </c>
      <c r="S70" s="17">
        <f>IF(P70&lt;40000,"Low",IF(AND(P70&gt;=41000,P70&lt;=80000),"Mid",IF(P70&gt;80000,"High","")))</f>
        <v/>
      </c>
      <c r="T70" s="17">
        <f>IF(AND(L70="HR",I70="MUMBAI"),"Yes","No")</f>
        <v/>
      </c>
      <c r="U70" s="17">
        <f>IF(OR(L70="HR",L70="FINANCE"),"Yes","No")</f>
        <v/>
      </c>
      <c r="V70" s="21">
        <f>IF(N70="Very Good",15%,IF(N70="Good",12%,IF(N70="Average",10%,"Not applicable")))</f>
        <v/>
      </c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</row>
    <row r="71" ht="18.75" customHeight="1" s="23">
      <c r="A71" s="17" t="inlineStr">
        <is>
          <t>EMP-95524</t>
        </is>
      </c>
      <c r="B71" s="17" t="inlineStr">
        <is>
          <t>AKASH</t>
        </is>
      </c>
      <c r="C71" s="17" t="inlineStr">
        <is>
          <t>MANOJ</t>
        </is>
      </c>
      <c r="D71" s="17" t="inlineStr">
        <is>
          <t>LOKHANDE</t>
        </is>
      </c>
      <c r="E71" s="18" t="n">
        <v>34126</v>
      </c>
      <c r="F71" s="18" t="n">
        <v>40668</v>
      </c>
      <c r="G71" s="17" t="n">
        <v>5</v>
      </c>
      <c r="H71" s="17" t="inlineStr">
        <is>
          <t>Loc-1004</t>
        </is>
      </c>
      <c r="I71" s="17" t="inlineStr">
        <is>
          <t>MUMBAI</t>
        </is>
      </c>
      <c r="J71" s="17" t="inlineStr">
        <is>
          <t>79818679xx</t>
        </is>
      </c>
      <c r="K71" s="17" t="inlineStr">
        <is>
          <t>Dept-103</t>
        </is>
      </c>
      <c r="L71" s="17" t="inlineStr">
        <is>
          <t>FINANCE</t>
        </is>
      </c>
      <c r="M71" s="17" t="inlineStr">
        <is>
          <t>PGDBM</t>
        </is>
      </c>
      <c r="N71" s="17" t="inlineStr">
        <is>
          <t>Average</t>
        </is>
      </c>
      <c r="O71" s="17" t="inlineStr">
        <is>
          <t>Male</t>
        </is>
      </c>
      <c r="P71" s="19" t="n">
        <v>100762.74</v>
      </c>
      <c r="Q71" s="17">
        <f>IF(N71="Very Poor","Terminate","")</f>
        <v/>
      </c>
      <c r="R71" s="20">
        <f>IF(N71="Very Good",P71*5%,0)</f>
        <v/>
      </c>
      <c r="S71" s="17">
        <f>IF(P71&lt;40000,"Low",IF(AND(P71&gt;=41000,P71&lt;=80000),"Mid",IF(P71&gt;80000,"High","")))</f>
        <v/>
      </c>
      <c r="T71" s="17">
        <f>IF(AND(L71="HR",I71="MUMBAI"),"Yes","No")</f>
        <v/>
      </c>
      <c r="U71" s="17">
        <f>IF(OR(L71="HR",L71="FINANCE"),"Yes","No")</f>
        <v/>
      </c>
      <c r="V71" s="21">
        <f>IF(N71="Very Good",15%,IF(N71="Good",12%,IF(N71="Average",10%,"Not applicable")))</f>
        <v/>
      </c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</row>
    <row r="72" ht="18.75" customHeight="1" s="23">
      <c r="A72" s="17" t="inlineStr">
        <is>
          <t>EMP-95491</t>
        </is>
      </c>
      <c r="B72" s="17" t="inlineStr">
        <is>
          <t>AKASH</t>
        </is>
      </c>
      <c r="C72" s="17" t="inlineStr">
        <is>
          <t>MANOJ</t>
        </is>
      </c>
      <c r="D72" s="17" t="inlineStr">
        <is>
          <t>MAHESHWARI</t>
        </is>
      </c>
      <c r="E72" s="18" t="n">
        <v>34095</v>
      </c>
      <c r="F72" s="18" t="n">
        <v>40699</v>
      </c>
      <c r="G72" s="17" t="n">
        <v>8</v>
      </c>
      <c r="H72" s="17" t="inlineStr">
        <is>
          <t>Loc-1003</t>
        </is>
      </c>
      <c r="I72" s="17" t="inlineStr">
        <is>
          <t>NAGPUR</t>
        </is>
      </c>
      <c r="J72" s="17" t="inlineStr">
        <is>
          <t>79809768xx</t>
        </is>
      </c>
      <c r="K72" s="17" t="inlineStr">
        <is>
          <t>Dept-101</t>
        </is>
      </c>
      <c r="L72" s="17" t="inlineStr">
        <is>
          <t>PRODUCTION</t>
        </is>
      </c>
      <c r="M72" s="17" t="inlineStr">
        <is>
          <t>MBA</t>
        </is>
      </c>
      <c r="N72" s="17" t="inlineStr">
        <is>
          <t>Not Rated</t>
        </is>
      </c>
      <c r="O72" s="17" t="inlineStr">
        <is>
          <t>Male</t>
        </is>
      </c>
      <c r="P72" s="19" t="n">
        <v>110257.92</v>
      </c>
      <c r="Q72" s="17">
        <f>IF(N72="Very Poor","Terminate","")</f>
        <v/>
      </c>
      <c r="R72" s="20">
        <f>IF(N72="Very Good",P72*5%,0)</f>
        <v/>
      </c>
      <c r="S72" s="17">
        <f>IF(P72&lt;40000,"Low",IF(AND(P72&gt;=41000,P72&lt;=80000),"Mid",IF(P72&gt;80000,"High","")))</f>
        <v/>
      </c>
      <c r="T72" s="17">
        <f>IF(AND(L72="HR",I72="MUMBAI"),"Yes","No")</f>
        <v/>
      </c>
      <c r="U72" s="17">
        <f>IF(OR(L72="HR",L72="FINANCE"),"Yes","No")</f>
        <v/>
      </c>
      <c r="V72" s="21">
        <f>IF(N72="Very Good",15%,IF(N72="Good",12%,IF(N72="Average",10%,"Not applicable")))</f>
        <v/>
      </c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</row>
    <row r="73" ht="18.75" customHeight="1" s="23">
      <c r="A73" s="17" t="inlineStr">
        <is>
          <t>EMP-95561</t>
        </is>
      </c>
      <c r="B73" s="17" t="inlineStr">
        <is>
          <t>AKSHAY</t>
        </is>
      </c>
      <c r="C73" s="17" t="inlineStr">
        <is>
          <t>MANOJ</t>
        </is>
      </c>
      <c r="D73" s="17" t="inlineStr">
        <is>
          <t>MALU</t>
        </is>
      </c>
      <c r="E73" s="18" t="n">
        <v>34065</v>
      </c>
      <c r="F73" s="18" t="n">
        <v>40729</v>
      </c>
      <c r="G73" s="17" t="n">
        <v>7</v>
      </c>
      <c r="H73" s="17" t="inlineStr">
        <is>
          <t>Loc-1005</t>
        </is>
      </c>
      <c r="I73" s="17" t="inlineStr">
        <is>
          <t>CHENNAI</t>
        </is>
      </c>
      <c r="J73" s="17" t="inlineStr">
        <is>
          <t>79800857xx</t>
        </is>
      </c>
      <c r="K73" s="17" t="inlineStr">
        <is>
          <t>Dept-101</t>
        </is>
      </c>
      <c r="L73" s="17" t="inlineStr">
        <is>
          <t>PRODUCTION</t>
        </is>
      </c>
      <c r="M73" s="17" t="inlineStr">
        <is>
          <t>MBA</t>
        </is>
      </c>
      <c r="N73" s="17" t="inlineStr">
        <is>
          <t>Very Poor</t>
        </is>
      </c>
      <c r="O73" s="17" t="inlineStr">
        <is>
          <t>Male</t>
        </is>
      </c>
      <c r="P73" s="19" t="n">
        <v>112790.07</v>
      </c>
      <c r="Q73" s="17">
        <f>IF(N73="Very Poor","Terminate","")</f>
        <v/>
      </c>
      <c r="R73" s="20">
        <f>IF(N73="Very Good",P73*5%,0)</f>
        <v/>
      </c>
      <c r="S73" s="17">
        <f>IF(P73&lt;40000,"Low",IF(AND(P73&gt;=41000,P73&lt;=80000),"Mid",IF(P73&gt;80000,"High","")))</f>
        <v/>
      </c>
      <c r="T73" s="17">
        <f>IF(AND(L73="HR",I73="MUMBAI"),"Yes","No")</f>
        <v/>
      </c>
      <c r="U73" s="17">
        <f>IF(OR(L73="HR",L73="FINANCE"),"Yes","No")</f>
        <v/>
      </c>
      <c r="V73" s="21">
        <f>IF(N73="Very Good",15%,IF(N73="Good",12%,IF(N73="Average",10%,"Not applicable")))</f>
        <v/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</row>
    <row r="74" ht="18.75" customHeight="1" s="23">
      <c r="A74" s="17" t="inlineStr">
        <is>
          <t>EMP-95470</t>
        </is>
      </c>
      <c r="B74" s="17" t="inlineStr">
        <is>
          <t>YASH</t>
        </is>
      </c>
      <c r="C74" s="17" t="inlineStr">
        <is>
          <t>MARUTI</t>
        </is>
      </c>
      <c r="D74" s="17" t="inlineStr">
        <is>
          <t>LATHI</t>
        </is>
      </c>
      <c r="E74" s="18" t="n">
        <v>34187</v>
      </c>
      <c r="F74" s="18" t="n">
        <v>40607</v>
      </c>
      <c r="G74" s="17" t="n">
        <v>7</v>
      </c>
      <c r="H74" s="17" t="inlineStr">
        <is>
          <t>Loc-1002</t>
        </is>
      </c>
      <c r="I74" s="17" t="inlineStr">
        <is>
          <t>BANGALORE</t>
        </is>
      </c>
      <c r="J74" s="17" t="inlineStr">
        <is>
          <t>79836501xx</t>
        </is>
      </c>
      <c r="K74" s="17" t="inlineStr">
        <is>
          <t>Dept-101</t>
        </is>
      </c>
      <c r="L74" s="17" t="inlineStr">
        <is>
          <t>PRODUCTION</t>
        </is>
      </c>
      <c r="M74" s="17" t="inlineStr">
        <is>
          <t>PGDBM</t>
        </is>
      </c>
      <c r="N74" s="17" t="inlineStr">
        <is>
          <t>Not Rated</t>
        </is>
      </c>
      <c r="O74" s="17" t="inlineStr">
        <is>
          <t>Male</t>
        </is>
      </c>
      <c r="P74" s="19" t="n">
        <v>100504.17</v>
      </c>
      <c r="Q74" s="17">
        <f>IF(N74="Very Poor","Terminate","")</f>
        <v/>
      </c>
      <c r="R74" s="20">
        <f>IF(N74="Very Good",P74*5%,0)</f>
        <v/>
      </c>
      <c r="S74" s="17">
        <f>IF(P74&lt;40000,"Low",IF(AND(P74&gt;=41000,P74&lt;=80000),"Mid",IF(P74&gt;80000,"High","")))</f>
        <v/>
      </c>
      <c r="T74" s="17">
        <f>IF(AND(L74="HR",I74="MUMBAI"),"Yes","No")</f>
        <v/>
      </c>
      <c r="U74" s="17">
        <f>IF(OR(L74="HR",L74="FINANCE"),"Yes","No")</f>
        <v/>
      </c>
      <c r="V74" s="21">
        <f>IF(N74="Very Good",15%,IF(N74="Good",12%,IF(N74="Average",10%,"Not applicable")))</f>
        <v/>
      </c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</row>
    <row r="75" ht="18.75" customHeight="1" s="23">
      <c r="A75" s="17" t="inlineStr">
        <is>
          <t>EMP-95452</t>
        </is>
      </c>
      <c r="B75" s="17" t="inlineStr">
        <is>
          <t>ADITYA</t>
        </is>
      </c>
      <c r="C75" s="17" t="inlineStr">
        <is>
          <t>MARUTI</t>
        </is>
      </c>
      <c r="D75" s="17" t="inlineStr">
        <is>
          <t>LIMAYE</t>
        </is>
      </c>
      <c r="E75" s="18" t="n">
        <v>34156</v>
      </c>
      <c r="F75" s="18" t="n">
        <v>40638</v>
      </c>
      <c r="G75" s="17" t="n">
        <v>6</v>
      </c>
      <c r="H75" s="17" t="inlineStr">
        <is>
          <t>Loc-1001</t>
        </is>
      </c>
      <c r="I75" s="17" t="inlineStr">
        <is>
          <t>DELHI</t>
        </is>
      </c>
      <c r="J75" s="17" t="inlineStr">
        <is>
          <t>79827590xx</t>
        </is>
      </c>
      <c r="K75" s="17" t="inlineStr">
        <is>
          <t>Dept-105</t>
        </is>
      </c>
      <c r="L75" s="17" t="inlineStr">
        <is>
          <t>ADMIN</t>
        </is>
      </c>
      <c r="M75" s="17" t="inlineStr">
        <is>
          <t>B.E</t>
        </is>
      </c>
      <c r="N75" s="17" t="inlineStr">
        <is>
          <t>Not Rated</t>
        </is>
      </c>
      <c r="O75" s="17" t="inlineStr">
        <is>
          <t>Male</t>
        </is>
      </c>
      <c r="P75" s="19" t="n">
        <v>61839.54000000001</v>
      </c>
      <c r="Q75" s="17">
        <f>IF(N75="Very Poor","Terminate","")</f>
        <v/>
      </c>
      <c r="R75" s="20">
        <f>IF(N75="Very Good",P75*5%,0)</f>
        <v/>
      </c>
      <c r="S75" s="17">
        <f>IF(P75&lt;40000,"Low",IF(AND(P75&gt;=41000,P75&lt;=80000),"Mid",IF(P75&gt;80000,"High","")))</f>
        <v/>
      </c>
      <c r="T75" s="17">
        <f>IF(AND(L75="HR",I75="MUMBAI"),"Yes","No")</f>
        <v/>
      </c>
      <c r="U75" s="17">
        <f>IF(OR(L75="HR",L75="FINANCE"),"Yes","No")</f>
        <v/>
      </c>
      <c r="V75" s="21">
        <f>IF(N75="Very Good",15%,IF(N75="Good",12%,IF(N75="Average",10%,"Not applicable")))</f>
        <v/>
      </c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</row>
    <row r="76" ht="18.75" customHeight="1" s="23">
      <c r="A76" s="17" t="inlineStr">
        <is>
          <t>EMP-95492</t>
        </is>
      </c>
      <c r="B76" s="17" t="inlineStr">
        <is>
          <t>VIRAJ</t>
        </is>
      </c>
      <c r="C76" s="17" t="inlineStr">
        <is>
          <t>MILIND</t>
        </is>
      </c>
      <c r="D76" s="17" t="inlineStr">
        <is>
          <t>LANDE</t>
        </is>
      </c>
      <c r="E76" s="18" t="n">
        <v>34218</v>
      </c>
      <c r="F76" s="18" t="n">
        <v>40579</v>
      </c>
      <c r="G76" s="17" t="n">
        <v>8</v>
      </c>
      <c r="H76" s="17" t="inlineStr">
        <is>
          <t>Loc-1003</t>
        </is>
      </c>
      <c r="I76" s="17" t="inlineStr">
        <is>
          <t>NAGPUR</t>
        </is>
      </c>
      <c r="J76" s="17" t="inlineStr">
        <is>
          <t>79845412xx</t>
        </is>
      </c>
      <c r="K76" s="17" t="inlineStr">
        <is>
          <t>Dept-105</t>
        </is>
      </c>
      <c r="L76" s="17" t="inlineStr">
        <is>
          <t>ADMIN</t>
        </is>
      </c>
      <c r="M76" s="17" t="inlineStr">
        <is>
          <t>Mcom</t>
        </is>
      </c>
      <c r="N76" s="17" t="inlineStr">
        <is>
          <t>Good</t>
        </is>
      </c>
      <c r="O76" s="17" t="inlineStr">
        <is>
          <t>Male</t>
        </is>
      </c>
      <c r="P76" s="19" t="n">
        <v>35257.32</v>
      </c>
      <c r="Q76" s="17">
        <f>IF(N76="Very Poor","Terminate","")</f>
        <v/>
      </c>
      <c r="R76" s="20">
        <f>IF(N76="Very Good",P76*5%,0)</f>
        <v/>
      </c>
      <c r="S76" s="17">
        <f>IF(P76&lt;40000,"Low",IF(AND(P76&gt;=41000,P76&lt;=80000),"Mid",IF(P76&gt;80000,"High","")))</f>
        <v/>
      </c>
      <c r="T76" s="17">
        <f>IF(AND(L76="HR",I76="MUMBAI"),"Yes","No")</f>
        <v/>
      </c>
      <c r="U76" s="17">
        <f>IF(OR(L76="HR",L76="FINANCE"),"Yes","No")</f>
        <v/>
      </c>
      <c r="V76" s="21">
        <f>IF(N76="Very Good",15%,IF(N76="Good",12%,IF(N76="Average",10%,"Not applicable")))</f>
        <v/>
      </c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</row>
    <row r="77" ht="18.75" customHeight="1" s="23">
      <c r="A77" s="17" t="inlineStr">
        <is>
          <t>EMP-95525</t>
        </is>
      </c>
      <c r="B77" s="17" t="inlineStr">
        <is>
          <t>VAISHNAVI</t>
        </is>
      </c>
      <c r="C77" s="17" t="inlineStr">
        <is>
          <t>MULEY</t>
        </is>
      </c>
      <c r="D77" s="17" t="inlineStr">
        <is>
          <t>LAHOTI</t>
        </is>
      </c>
      <c r="E77" s="18" t="n">
        <v>34248</v>
      </c>
      <c r="F77" s="18" t="n">
        <v>40548</v>
      </c>
      <c r="G77" s="17" t="n">
        <v>6</v>
      </c>
      <c r="H77" s="17" t="inlineStr">
        <is>
          <t>Loc-1004</t>
        </is>
      </c>
      <c r="I77" s="17" t="inlineStr">
        <is>
          <t>MUMBAI</t>
        </is>
      </c>
      <c r="J77" s="17" t="inlineStr">
        <is>
          <t>79854322xx</t>
        </is>
      </c>
      <c r="K77" s="17" t="inlineStr">
        <is>
          <t>Dept-105</t>
        </is>
      </c>
      <c r="L77" s="17" t="inlineStr">
        <is>
          <t>ADMIN</t>
        </is>
      </c>
      <c r="M77" s="17" t="inlineStr">
        <is>
          <t>CA</t>
        </is>
      </c>
      <c r="N77" s="17" t="inlineStr">
        <is>
          <t>Not Rated</t>
        </is>
      </c>
      <c r="O77" s="17" t="inlineStr">
        <is>
          <t>Female</t>
        </is>
      </c>
      <c r="P77" s="19" t="n">
        <v>32315.13</v>
      </c>
      <c r="Q77" s="17">
        <f>IF(N77="Very Poor","Terminate","")</f>
        <v/>
      </c>
      <c r="R77" s="20">
        <f>IF(N77="Very Good",P77*5%,0)</f>
        <v/>
      </c>
      <c r="S77" s="17">
        <f>IF(P77&lt;40000,"Low",IF(AND(P77&gt;=41000,P77&lt;=80000),"Mid",IF(P77&gt;80000,"High","")))</f>
        <v/>
      </c>
      <c r="T77" s="17">
        <f>IF(AND(L77="HR",I77="MUMBAI"),"Yes","No")</f>
        <v/>
      </c>
      <c r="U77" s="17">
        <f>IF(OR(L77="HR",L77="FINANCE"),"Yes","No")</f>
        <v/>
      </c>
      <c r="V77" s="21">
        <f>IF(N77="Very Good",15%,IF(N77="Good",12%,IF(N77="Average",10%,"Not applicable")))</f>
        <v/>
      </c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</row>
    <row r="78" ht="18.75" customHeight="1" s="23">
      <c r="A78" s="17" t="inlineStr">
        <is>
          <t>EMP-95453</t>
        </is>
      </c>
      <c r="B78" s="17" t="inlineStr">
        <is>
          <t>TRISHA</t>
        </is>
      </c>
      <c r="C78" s="17" t="inlineStr">
        <is>
          <t>NAGARAJAN</t>
        </is>
      </c>
      <c r="D78" s="17" t="inlineStr">
        <is>
          <t>KUMAR</t>
        </is>
      </c>
      <c r="E78" s="18" t="n">
        <v>34279</v>
      </c>
      <c r="F78" s="18" t="n">
        <v>40517</v>
      </c>
      <c r="G78" s="17" t="n">
        <v>7</v>
      </c>
      <c r="H78" s="17" t="inlineStr">
        <is>
          <t>Loc-1001</t>
        </is>
      </c>
      <c r="I78" s="17" t="inlineStr">
        <is>
          <t>DELHI</t>
        </is>
      </c>
      <c r="J78" s="17" t="inlineStr">
        <is>
          <t>79863233xx</t>
        </is>
      </c>
      <c r="K78" s="17" t="inlineStr">
        <is>
          <t>Dept-105</t>
        </is>
      </c>
      <c r="L78" s="17" t="inlineStr">
        <is>
          <t>ADMIN</t>
        </is>
      </c>
      <c r="M78" s="17" t="inlineStr">
        <is>
          <t>CS</t>
        </is>
      </c>
      <c r="N78" s="17" t="inlineStr">
        <is>
          <t>Good</t>
        </is>
      </c>
      <c r="O78" s="17" t="inlineStr">
        <is>
          <t>Female</t>
        </is>
      </c>
      <c r="P78" s="19" t="n">
        <v>28753.29</v>
      </c>
      <c r="Q78" s="17">
        <f>IF(N78="Very Poor","Terminate","")</f>
        <v/>
      </c>
      <c r="R78" s="20">
        <f>IF(N78="Very Good",P78*5%,0)</f>
        <v/>
      </c>
      <c r="S78" s="17">
        <f>IF(P78&lt;40000,"Low",IF(AND(P78&gt;=41000,P78&lt;=80000),"Mid",IF(P78&gt;80000,"High","")))</f>
        <v/>
      </c>
      <c r="T78" s="17">
        <f>IF(AND(L78="HR",I78="MUMBAI"),"Yes","No")</f>
        <v/>
      </c>
      <c r="U78" s="17">
        <f>IF(OR(L78="HR",L78="FINANCE"),"Yes","No")</f>
        <v/>
      </c>
      <c r="V78" s="21">
        <f>IF(N78="Very Good",15%,IF(N78="Good",12%,IF(N78="Average",10%,"Not applicable")))</f>
        <v/>
      </c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</row>
    <row r="79" ht="18.75" customHeight="1" s="23">
      <c r="A79" s="17" t="inlineStr">
        <is>
          <t>EMP-95471</t>
        </is>
      </c>
      <c r="B79" s="17" t="inlineStr">
        <is>
          <t>TAPAN</t>
        </is>
      </c>
      <c r="C79" s="17" t="inlineStr">
        <is>
          <t>NAGESH</t>
        </is>
      </c>
      <c r="D79" s="17" t="inlineStr">
        <is>
          <t>KULKARNI</t>
        </is>
      </c>
      <c r="E79" s="18" t="n">
        <v>34309</v>
      </c>
      <c r="F79" s="18" t="n">
        <v>40487</v>
      </c>
      <c r="G79" s="17" t="n">
        <v>8</v>
      </c>
      <c r="H79" s="17" t="inlineStr">
        <is>
          <t>Loc-1002</t>
        </is>
      </c>
      <c r="I79" s="17" t="inlineStr">
        <is>
          <t>BANGALORE</t>
        </is>
      </c>
      <c r="J79" s="17" t="inlineStr">
        <is>
          <t>79872144xx</t>
        </is>
      </c>
      <c r="K79" s="17" t="inlineStr">
        <is>
          <t>Dept-101</t>
        </is>
      </c>
      <c r="L79" s="17" t="inlineStr">
        <is>
          <t>PRODUCTION</t>
        </is>
      </c>
      <c r="M79" s="17" t="inlineStr">
        <is>
          <t>B.E</t>
        </is>
      </c>
      <c r="N79" s="17" t="inlineStr">
        <is>
          <t>Very Poor</t>
        </is>
      </c>
      <c r="O79" s="17" t="inlineStr">
        <is>
          <t>Male</t>
        </is>
      </c>
      <c r="P79" s="19" t="n">
        <v>149624.82</v>
      </c>
      <c r="Q79" s="17">
        <f>IF(N79="Very Poor","Terminate","")</f>
        <v/>
      </c>
      <c r="R79" s="20">
        <f>IF(N79="Very Good",P79*5%,0)</f>
        <v/>
      </c>
      <c r="S79" s="17">
        <f>IF(P79&lt;40000,"Low",IF(AND(P79&gt;=41000,P79&lt;=80000),"Mid",IF(P79&gt;80000,"High","")))</f>
        <v/>
      </c>
      <c r="T79" s="17">
        <f>IF(AND(L79="HR",I79="MUMBAI"),"Yes","No")</f>
        <v/>
      </c>
      <c r="U79" s="17">
        <f>IF(OR(L79="HR",L79="FINANCE"),"Yes","No")</f>
        <v/>
      </c>
      <c r="V79" s="21">
        <f>IF(N79="Very Good",15%,IF(N79="Good",12%,IF(N79="Average",10%,"Not applicable")))</f>
        <v/>
      </c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</row>
    <row r="80" ht="18.75" customHeight="1" s="23">
      <c r="A80" s="17" t="inlineStr">
        <is>
          <t>EMP-95493</t>
        </is>
      </c>
      <c r="B80" s="17" t="inlineStr">
        <is>
          <t>SHUBHADA</t>
        </is>
      </c>
      <c r="C80" s="17" t="inlineStr">
        <is>
          <t>NANASO</t>
        </is>
      </c>
      <c r="D80" s="17" t="inlineStr">
        <is>
          <t>KULKARNI</t>
        </is>
      </c>
      <c r="E80" s="18" t="n">
        <v>34340</v>
      </c>
      <c r="F80" s="18" t="n">
        <v>40456</v>
      </c>
      <c r="G80" s="17" t="n">
        <v>5</v>
      </c>
      <c r="H80" s="17" t="inlineStr">
        <is>
          <t>Loc-1003</t>
        </is>
      </c>
      <c r="I80" s="17" t="inlineStr">
        <is>
          <t>NAGPUR</t>
        </is>
      </c>
      <c r="J80" s="17" t="inlineStr">
        <is>
          <t>79881055xx</t>
        </is>
      </c>
      <c r="K80" s="17" t="inlineStr">
        <is>
          <t>Dept-102</t>
        </is>
      </c>
      <c r="L80" s="17" t="inlineStr">
        <is>
          <t>HR</t>
        </is>
      </c>
      <c r="M80" s="17" t="inlineStr">
        <is>
          <t>M.E</t>
        </is>
      </c>
      <c r="N80" s="17" t="inlineStr">
        <is>
          <t>Very Good</t>
        </is>
      </c>
      <c r="O80" s="17" t="inlineStr">
        <is>
          <t>Female</t>
        </is>
      </c>
      <c r="P80" s="19" t="n">
        <v>42579.9</v>
      </c>
      <c r="Q80" s="17">
        <f>IF(N80="Very Poor","Terminate","")</f>
        <v/>
      </c>
      <c r="R80" s="20">
        <f>IF(N80="Very Good",P80*5%,0)</f>
        <v/>
      </c>
      <c r="S80" s="17">
        <f>IF(P80&lt;40000,"Low",IF(AND(P80&gt;=41000,P80&lt;=80000),"Mid",IF(P80&gt;80000,"High","")))</f>
        <v/>
      </c>
      <c r="T80" s="17">
        <f>IF(AND(L80="HR",I80="MUMBAI"),"Yes","No")</f>
        <v/>
      </c>
      <c r="U80" s="17">
        <f>IF(OR(L80="HR",L80="FINANCE"),"Yes","No")</f>
        <v/>
      </c>
      <c r="V80" s="21">
        <f>IF(N80="Very Good",15%,IF(N80="Good",12%,IF(N80="Average",10%,"Not applicable")))</f>
        <v/>
      </c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</row>
    <row r="81" ht="18.75" customHeight="1" s="23">
      <c r="A81" s="17" t="inlineStr">
        <is>
          <t>EMP-95526</t>
        </is>
      </c>
      <c r="B81" s="17" t="inlineStr">
        <is>
          <t>SHREYA</t>
        </is>
      </c>
      <c r="C81" s="17" t="inlineStr">
        <is>
          <t>NANDKUMAR</t>
        </is>
      </c>
      <c r="D81" s="17" t="inlineStr">
        <is>
          <t>KULKARNI</t>
        </is>
      </c>
      <c r="E81" s="18" t="n">
        <v>34371</v>
      </c>
      <c r="F81" s="18" t="n">
        <v>40426</v>
      </c>
      <c r="G81" s="17" t="n">
        <v>6</v>
      </c>
      <c r="H81" s="17" t="inlineStr">
        <is>
          <t>Loc-1004</t>
        </is>
      </c>
      <c r="I81" s="17" t="inlineStr">
        <is>
          <t>MUMBAI</t>
        </is>
      </c>
      <c r="J81" s="17" t="inlineStr">
        <is>
          <t>79889966xx</t>
        </is>
      </c>
      <c r="K81" s="17" t="inlineStr">
        <is>
          <t>Dept-104</t>
        </is>
      </c>
      <c r="L81" s="17" t="inlineStr">
        <is>
          <t>MARKETING</t>
        </is>
      </c>
      <c r="M81" s="17" t="inlineStr">
        <is>
          <t>PGDBM</t>
        </is>
      </c>
      <c r="N81" s="17" t="inlineStr">
        <is>
          <t>Very Poor</t>
        </is>
      </c>
      <c r="O81" s="17" t="inlineStr">
        <is>
          <t>Female</t>
        </is>
      </c>
      <c r="P81" s="19" t="n">
        <v>117337.23</v>
      </c>
      <c r="Q81" s="17">
        <f>IF(N81="Very Poor","Terminate","")</f>
        <v/>
      </c>
      <c r="R81" s="20">
        <f>IF(N81="Very Good",P81*5%,0)</f>
        <v/>
      </c>
      <c r="S81" s="17">
        <f>IF(P81&lt;40000,"Low",IF(AND(P81&gt;=41000,P81&lt;=80000),"Mid",IF(P81&gt;80000,"High","")))</f>
        <v/>
      </c>
      <c r="T81" s="17">
        <f>IF(AND(L81="HR",I81="MUMBAI"),"Yes","No")</f>
        <v/>
      </c>
      <c r="U81" s="17">
        <f>IF(OR(L81="HR",L81="FINANCE"),"Yes","No")</f>
        <v/>
      </c>
      <c r="V81" s="21">
        <f>IF(N81="Very Good",15%,IF(N81="Good",12%,IF(N81="Average",10%,"Not applicable")))</f>
        <v/>
      </c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</row>
    <row r="82" ht="18.75" customHeight="1" s="23">
      <c r="A82" s="17" t="inlineStr">
        <is>
          <t>EMP-95539</t>
        </is>
      </c>
      <c r="B82" s="17" t="inlineStr">
        <is>
          <t>SHANTANU</t>
        </is>
      </c>
      <c r="C82" s="17" t="inlineStr">
        <is>
          <t>NARESH</t>
        </is>
      </c>
      <c r="D82" s="17" t="inlineStr">
        <is>
          <t>KUKREJA</t>
        </is>
      </c>
      <c r="E82" s="18" t="n">
        <v>34399</v>
      </c>
      <c r="F82" s="18" t="n">
        <v>40395</v>
      </c>
      <c r="G82" s="17" t="n">
        <v>7</v>
      </c>
      <c r="H82" s="17" t="inlineStr">
        <is>
          <t>Loc-1004</t>
        </is>
      </c>
      <c r="I82" s="17" t="inlineStr">
        <is>
          <t>MUMBAI</t>
        </is>
      </c>
      <c r="J82" s="17" t="inlineStr">
        <is>
          <t>99492124xx</t>
        </is>
      </c>
      <c r="K82" s="17" t="inlineStr">
        <is>
          <t>Dept-104</t>
        </is>
      </c>
      <c r="L82" s="17" t="inlineStr">
        <is>
          <t>MARKETING</t>
        </is>
      </c>
      <c r="M82" s="17" t="inlineStr">
        <is>
          <t>BCOM</t>
        </is>
      </c>
      <c r="N82" s="17" t="inlineStr">
        <is>
          <t>Very Poor</t>
        </is>
      </c>
      <c r="O82" s="17" t="inlineStr">
        <is>
          <t>Male</t>
        </is>
      </c>
      <c r="P82" s="19" t="n">
        <v>101379.33</v>
      </c>
      <c r="Q82" s="17">
        <f>IF(N82="Very Poor","Terminate","")</f>
        <v/>
      </c>
      <c r="R82" s="20">
        <f>IF(N82="Very Good",P82*5%,0)</f>
        <v/>
      </c>
      <c r="S82" s="17">
        <f>IF(P82&lt;40000,"Low",IF(AND(P82&gt;=41000,P82&lt;=80000),"Mid",IF(P82&gt;80000,"High","")))</f>
        <v/>
      </c>
      <c r="T82" s="17">
        <f>IF(AND(L82="HR",I82="MUMBAI"),"Yes","No")</f>
        <v/>
      </c>
      <c r="U82" s="17">
        <f>IF(OR(L82="HR",L82="FINANCE"),"Yes","No")</f>
        <v/>
      </c>
      <c r="V82" s="21">
        <f>IF(N82="Very Good",15%,IF(N82="Good",12%,IF(N82="Average",10%,"Not applicable")))</f>
        <v/>
      </c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</row>
    <row r="83" ht="18.75" customHeight="1" s="23">
      <c r="A83" s="17" t="inlineStr">
        <is>
          <t>EMP-95537</t>
        </is>
      </c>
      <c r="B83" s="17" t="inlineStr">
        <is>
          <t>SAMIKSHA</t>
        </is>
      </c>
      <c r="C83" s="17" t="inlineStr">
        <is>
          <t>NITIN</t>
        </is>
      </c>
      <c r="D83" s="17" t="inlineStr">
        <is>
          <t>KSHIRSAGAR</t>
        </is>
      </c>
      <c r="E83" s="18" t="n">
        <v>34430</v>
      </c>
      <c r="F83" s="18" t="n">
        <v>40364</v>
      </c>
      <c r="G83" s="17" t="n">
        <v>8</v>
      </c>
      <c r="H83" s="17" t="inlineStr">
        <is>
          <t>Loc-1004</t>
        </is>
      </c>
      <c r="I83" s="17" t="inlineStr">
        <is>
          <t>MUMBAI</t>
        </is>
      </c>
      <c r="J83" s="17" t="inlineStr">
        <is>
          <t>98583146xx</t>
        </is>
      </c>
      <c r="K83" s="17" t="inlineStr">
        <is>
          <t>Dept-103</t>
        </is>
      </c>
      <c r="L83" s="17" t="inlineStr">
        <is>
          <t>FINANCE</t>
        </is>
      </c>
      <c r="M83" s="17" t="inlineStr">
        <is>
          <t>MBA</t>
        </is>
      </c>
      <c r="N83" s="17" t="inlineStr">
        <is>
          <t>Very Good</t>
        </is>
      </c>
      <c r="O83" s="17" t="inlineStr">
        <is>
          <t>Female</t>
        </is>
      </c>
      <c r="P83" s="19" t="n">
        <v>83836.35000000001</v>
      </c>
      <c r="Q83" s="17">
        <f>IF(N83="Very Poor","Terminate","")</f>
        <v/>
      </c>
      <c r="R83" s="20">
        <f>IF(N83="Very Good",P83*5%,0)</f>
        <v/>
      </c>
      <c r="S83" s="17">
        <f>IF(P83&lt;40000,"Low",IF(AND(P83&gt;=41000,P83&lt;=80000),"Mid",IF(P83&gt;80000,"High","")))</f>
        <v/>
      </c>
      <c r="T83" s="17">
        <f>IF(AND(L83="HR",I83="MUMBAI"),"Yes","No")</f>
        <v/>
      </c>
      <c r="U83" s="17">
        <f>IF(OR(L83="HR",L83="FINANCE"),"Yes","No")</f>
        <v/>
      </c>
      <c r="V83" s="21">
        <f>IF(N83="Very Good",15%,IF(N83="Good",12%,IF(N83="Average",10%,"Not applicable")))</f>
        <v/>
      </c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</row>
    <row r="84" ht="18.75" customHeight="1" s="23">
      <c r="A84" s="17" t="inlineStr">
        <is>
          <t>EMP-95536</t>
        </is>
      </c>
      <c r="B84" s="17" t="inlineStr">
        <is>
          <t>SAHIL</t>
        </is>
      </c>
      <c r="C84" s="17" t="inlineStr">
        <is>
          <t>OMPRAKASH</t>
        </is>
      </c>
      <c r="D84" s="17" t="inlineStr">
        <is>
          <t>KOTAK</t>
        </is>
      </c>
      <c r="E84" s="18" t="n">
        <v>34460</v>
      </c>
      <c r="F84" s="18" t="n">
        <v>40334</v>
      </c>
      <c r="G84" s="17" t="n">
        <v>6</v>
      </c>
      <c r="H84" s="17" t="inlineStr">
        <is>
          <t>Loc-1004</t>
        </is>
      </c>
      <c r="I84" s="17" t="inlineStr">
        <is>
          <t>MUMBAI</t>
        </is>
      </c>
      <c r="J84" s="17" t="inlineStr">
        <is>
          <t>97674168xx</t>
        </is>
      </c>
      <c r="K84" s="17" t="inlineStr">
        <is>
          <t>Dept-101</t>
        </is>
      </c>
      <c r="L84" s="17" t="inlineStr">
        <is>
          <t>PRODUCTION</t>
        </is>
      </c>
      <c r="M84" s="17" t="inlineStr">
        <is>
          <t>BCOM</t>
        </is>
      </c>
      <c r="N84" s="17" t="inlineStr">
        <is>
          <t>Poor</t>
        </is>
      </c>
      <c r="O84" s="17" t="inlineStr">
        <is>
          <t>Male</t>
        </is>
      </c>
      <c r="P84" s="19" t="n">
        <v>114570.99</v>
      </c>
      <c r="Q84" s="17">
        <f>IF(N84="Very Poor","Terminate","")</f>
        <v/>
      </c>
      <c r="R84" s="20">
        <f>IF(N84="Very Good",P84*5%,0)</f>
        <v/>
      </c>
      <c r="S84" s="17">
        <f>IF(P84&lt;40000,"Low",IF(AND(P84&gt;=41000,P84&lt;=80000),"Mid",IF(P84&gt;80000,"High","")))</f>
        <v/>
      </c>
      <c r="T84" s="17">
        <f>IF(AND(L84="HR",I84="MUMBAI"),"Yes","No")</f>
        <v/>
      </c>
      <c r="U84" s="17">
        <f>IF(OR(L84="HR",L84="FINANCE"),"Yes","No")</f>
        <v/>
      </c>
      <c r="V84" s="21">
        <f>IF(N84="Very Good",15%,IF(N84="Good",12%,IF(N84="Average",10%,"Not applicable")))</f>
        <v/>
      </c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</row>
    <row r="85" ht="18.75" customHeight="1" s="23">
      <c r="A85" s="17" t="inlineStr">
        <is>
          <t>EMP-95500</t>
        </is>
      </c>
      <c r="B85" s="17" t="inlineStr">
        <is>
          <t>SAGAR</t>
        </is>
      </c>
      <c r="C85" s="17" t="inlineStr">
        <is>
          <t>PANDIT</t>
        </is>
      </c>
      <c r="D85" s="17" t="inlineStr">
        <is>
          <t>KORANAHALLI</t>
        </is>
      </c>
      <c r="E85" s="18" t="n">
        <v>34491</v>
      </c>
      <c r="F85" s="18" t="n">
        <v>40303</v>
      </c>
      <c r="G85" s="17" t="n">
        <v>7</v>
      </c>
      <c r="H85" s="17" t="inlineStr">
        <is>
          <t>Loc-1003</t>
        </is>
      </c>
      <c r="I85" s="17" t="inlineStr">
        <is>
          <t>NAGPUR</t>
        </is>
      </c>
      <c r="J85" s="17" t="inlineStr">
        <is>
          <t>96765190xx</t>
        </is>
      </c>
      <c r="K85" s="17" t="inlineStr">
        <is>
          <t>Dept-103</t>
        </is>
      </c>
      <c r="L85" s="17" t="inlineStr">
        <is>
          <t>FINANCE</t>
        </is>
      </c>
      <c r="M85" s="17" t="inlineStr">
        <is>
          <t>MBA</t>
        </is>
      </c>
      <c r="N85" s="17" t="inlineStr">
        <is>
          <t>Good</t>
        </is>
      </c>
      <c r="O85" s="17" t="inlineStr">
        <is>
          <t>Male</t>
        </is>
      </c>
      <c r="P85" s="19" t="n">
        <v>136824.84</v>
      </c>
      <c r="Q85" s="17">
        <f>IF(N85="Very Poor","Terminate","")</f>
        <v/>
      </c>
      <c r="R85" s="20">
        <f>IF(N85="Very Good",P85*5%,0)</f>
        <v/>
      </c>
      <c r="S85" s="17">
        <f>IF(P85&lt;40000,"Low",IF(AND(P85&gt;=41000,P85&lt;=80000),"Mid",IF(P85&gt;80000,"High","")))</f>
        <v/>
      </c>
      <c r="T85" s="17">
        <f>IF(AND(L85="HR",I85="MUMBAI"),"Yes","No")</f>
        <v/>
      </c>
      <c r="U85" s="17">
        <f>IF(OR(L85="HR",L85="FINANCE"),"Yes","No")</f>
        <v/>
      </c>
      <c r="V85" s="21">
        <f>IF(N85="Very Good",15%,IF(N85="Good",12%,IF(N85="Average",10%,"Not applicable")))</f>
        <v/>
      </c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</row>
    <row r="86" ht="18.75" customHeight="1" s="23">
      <c r="A86" s="17" t="inlineStr">
        <is>
          <t>EMP-95499</t>
        </is>
      </c>
      <c r="B86" s="17" t="inlineStr">
        <is>
          <t>RENUKA</t>
        </is>
      </c>
      <c r="C86" s="17" t="inlineStr">
        <is>
          <t>PANDURANG</t>
        </is>
      </c>
      <c r="D86" s="17" t="inlineStr">
        <is>
          <t>KILLEDAR</t>
        </is>
      </c>
      <c r="E86" s="18" t="n">
        <v>34521</v>
      </c>
      <c r="F86" s="18" t="n">
        <v>41248</v>
      </c>
      <c r="G86" s="17" t="n">
        <v>8</v>
      </c>
      <c r="H86" s="17" t="inlineStr">
        <is>
          <t>Loc-1003</t>
        </is>
      </c>
      <c r="I86" s="17" t="inlineStr">
        <is>
          <t>NAGPUR</t>
        </is>
      </c>
      <c r="J86" s="17" t="inlineStr">
        <is>
          <t>95856212xx</t>
        </is>
      </c>
      <c r="K86" s="17" t="inlineStr">
        <is>
          <t>Dept-105</t>
        </is>
      </c>
      <c r="L86" s="17" t="inlineStr">
        <is>
          <t>ADMIN</t>
        </is>
      </c>
      <c r="M86" s="17" t="inlineStr">
        <is>
          <t>Msc</t>
        </is>
      </c>
      <c r="N86" s="17" t="inlineStr">
        <is>
          <t>Average</t>
        </is>
      </c>
      <c r="O86" s="17" t="inlineStr">
        <is>
          <t>Female</t>
        </is>
      </c>
      <c r="P86" s="19" t="n">
        <v>38282.13</v>
      </c>
      <c r="Q86" s="17">
        <f>IF(N86="Very Poor","Terminate","")</f>
        <v/>
      </c>
      <c r="R86" s="20">
        <f>IF(N86="Very Good",P86*5%,0)</f>
        <v/>
      </c>
      <c r="S86" s="17">
        <f>IF(P86&lt;40000,"Low",IF(AND(P86&gt;=41000,P86&lt;=80000),"Mid",IF(P86&gt;80000,"High","")))</f>
        <v/>
      </c>
      <c r="T86" s="17">
        <f>IF(AND(L86="HR",I86="MUMBAI"),"Yes","No")</f>
        <v/>
      </c>
      <c r="U86" s="17">
        <f>IF(OR(L86="HR",L86="FINANCE"),"Yes","No")</f>
        <v/>
      </c>
      <c r="V86" s="21">
        <f>IF(N86="Very Good",15%,IF(N86="Good",12%,IF(N86="Average",10%,"Not applicable")))</f>
        <v/>
      </c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</row>
    <row r="87" ht="18.75" customHeight="1" s="23">
      <c r="A87" s="17" t="inlineStr">
        <is>
          <t>EMP-95588</t>
        </is>
      </c>
      <c r="B87" s="17" t="inlineStr">
        <is>
          <t>RAMA</t>
        </is>
      </c>
      <c r="C87" s="17" t="inlineStr">
        <is>
          <t>PANKAJ</t>
        </is>
      </c>
      <c r="D87" s="17" t="inlineStr">
        <is>
          <t>KHANDELWAL</t>
        </is>
      </c>
      <c r="E87" s="18" t="n">
        <v>34552</v>
      </c>
      <c r="F87" s="18" t="n">
        <v>41218</v>
      </c>
      <c r="G87" s="17" t="n">
        <v>5</v>
      </c>
      <c r="H87" s="17" t="inlineStr">
        <is>
          <t>Loc-1006</t>
        </is>
      </c>
      <c r="I87" s="17" t="inlineStr">
        <is>
          <t>PUNE</t>
        </is>
      </c>
      <c r="J87" s="17" t="inlineStr">
        <is>
          <t>94947234xx</t>
        </is>
      </c>
      <c r="K87" s="17" t="inlineStr">
        <is>
          <t>Dept-102</t>
        </is>
      </c>
      <c r="L87" s="17" t="inlineStr">
        <is>
          <t>HR</t>
        </is>
      </c>
      <c r="M87" s="17" t="inlineStr">
        <is>
          <t>MBA</t>
        </is>
      </c>
      <c r="N87" s="17" t="inlineStr">
        <is>
          <t>Good</t>
        </is>
      </c>
      <c r="O87" s="17" t="inlineStr">
        <is>
          <t>Male</t>
        </is>
      </c>
      <c r="P87" s="19" t="n">
        <v>78140.16</v>
      </c>
      <c r="Q87" s="17">
        <f>IF(N87="Very Poor","Terminate","")</f>
        <v/>
      </c>
      <c r="R87" s="20">
        <f>IF(N87="Very Good",P87*5%,0)</f>
        <v/>
      </c>
      <c r="S87" s="17">
        <f>IF(P87&lt;40000,"Low",IF(AND(P87&gt;=41000,P87&lt;=80000),"Mid",IF(P87&gt;80000,"High","")))</f>
        <v/>
      </c>
      <c r="T87" s="17">
        <f>IF(AND(L87="HR",I87="MUMBAI"),"Yes","No")</f>
        <v/>
      </c>
      <c r="U87" s="17">
        <f>IF(OR(L87="HR",L87="FINANCE"),"Yes","No")</f>
        <v/>
      </c>
      <c r="V87" s="21">
        <f>IF(N87="Very Good",15%,IF(N87="Good",12%,IF(N87="Average",10%,"Not applicable")))</f>
        <v/>
      </c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</row>
    <row r="88" ht="18.75" customHeight="1" s="23">
      <c r="A88" s="17" t="inlineStr">
        <is>
          <t>EMP-95532</t>
        </is>
      </c>
      <c r="B88" s="17" t="inlineStr">
        <is>
          <t>RAJENDRA</t>
        </is>
      </c>
      <c r="C88" s="17" t="inlineStr">
        <is>
          <t>PRADEEP</t>
        </is>
      </c>
      <c r="D88" s="17" t="inlineStr">
        <is>
          <t>KELKAR</t>
        </is>
      </c>
      <c r="E88" s="18" t="n">
        <v>34583</v>
      </c>
      <c r="F88" s="18" t="n">
        <v>41187</v>
      </c>
      <c r="G88" s="17" t="n">
        <v>6</v>
      </c>
      <c r="H88" s="17" t="inlineStr">
        <is>
          <t>Loc-1004</t>
        </is>
      </c>
      <c r="I88" s="17" t="inlineStr">
        <is>
          <t>MUMBAI</t>
        </is>
      </c>
      <c r="J88" s="17" t="inlineStr">
        <is>
          <t>94038257xx</t>
        </is>
      </c>
      <c r="K88" s="17" t="inlineStr">
        <is>
          <t>Dept-105</t>
        </is>
      </c>
      <c r="L88" s="17" t="inlineStr">
        <is>
          <t>ADMIN</t>
        </is>
      </c>
      <c r="M88" s="17" t="inlineStr">
        <is>
          <t>ICWA</t>
        </is>
      </c>
      <c r="N88" s="17" t="inlineStr">
        <is>
          <t>Good</t>
        </is>
      </c>
      <c r="O88" s="17" t="inlineStr">
        <is>
          <t>Male</t>
        </is>
      </c>
      <c r="P88" s="19" t="n">
        <v>110069.73</v>
      </c>
      <c r="Q88" s="17">
        <f>IF(N88="Very Poor","Terminate","")</f>
        <v/>
      </c>
      <c r="R88" s="20">
        <f>IF(N88="Very Good",P88*5%,0)</f>
        <v/>
      </c>
      <c r="S88" s="17">
        <f>IF(P88&lt;40000,"Low",IF(AND(P88&gt;=41000,P88&lt;=80000),"Mid",IF(P88&gt;80000,"High","")))</f>
        <v/>
      </c>
      <c r="T88" s="17">
        <f>IF(AND(L88="HR",I88="MUMBAI"),"Yes","No")</f>
        <v/>
      </c>
      <c r="U88" s="17">
        <f>IF(OR(L88="HR",L88="FINANCE"),"Yes","No")</f>
        <v/>
      </c>
      <c r="V88" s="21">
        <f>IF(N88="Very Good",15%,IF(N88="Good",12%,IF(N88="Average",10%,"Not applicable")))</f>
        <v/>
      </c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</row>
    <row r="89" ht="18.75" customHeight="1" s="23">
      <c r="A89" s="17" t="inlineStr">
        <is>
          <t>EMP-95475</t>
        </is>
      </c>
      <c r="B89" s="17" t="inlineStr">
        <is>
          <t>PRIYANKA</t>
        </is>
      </c>
      <c r="C89" s="17" t="inlineStr">
        <is>
          <t>PRADIP</t>
        </is>
      </c>
      <c r="D89" s="17" t="inlineStr">
        <is>
          <t>KELANI</t>
        </is>
      </c>
      <c r="E89" s="18" t="n">
        <v>34613</v>
      </c>
      <c r="F89" s="18" t="n">
        <v>41157</v>
      </c>
      <c r="G89" s="17" t="n">
        <v>7</v>
      </c>
      <c r="H89" s="17" t="inlineStr">
        <is>
          <t>Loc-1002</t>
        </is>
      </c>
      <c r="I89" s="17" t="inlineStr">
        <is>
          <t>BANGALORE</t>
        </is>
      </c>
      <c r="J89" s="17" t="inlineStr">
        <is>
          <t>93129279xx</t>
        </is>
      </c>
      <c r="K89" s="17" t="inlineStr">
        <is>
          <t>Dept-103</t>
        </is>
      </c>
      <c r="L89" s="17" t="inlineStr">
        <is>
          <t>FINANCE</t>
        </is>
      </c>
      <c r="M89" s="17" t="inlineStr">
        <is>
          <t>MBA</t>
        </is>
      </c>
      <c r="N89" s="17" t="inlineStr">
        <is>
          <t>Poor</t>
        </is>
      </c>
      <c r="O89" s="17" t="inlineStr">
        <is>
          <t>Female</t>
        </is>
      </c>
      <c r="P89" s="19" t="n">
        <v>95602.05</v>
      </c>
      <c r="Q89" s="17">
        <f>IF(N89="Very Poor","Terminate","")</f>
        <v/>
      </c>
      <c r="R89" s="20">
        <f>IF(N89="Very Good",P89*5%,0)</f>
        <v/>
      </c>
      <c r="S89" s="17">
        <f>IF(P89&lt;40000,"Low",IF(AND(P89&gt;=41000,P89&lt;=80000),"Mid",IF(P89&gt;80000,"High","")))</f>
        <v/>
      </c>
      <c r="T89" s="17">
        <f>IF(AND(L89="HR",I89="MUMBAI"),"Yes","No")</f>
        <v/>
      </c>
      <c r="U89" s="17">
        <f>IF(OR(L89="HR",L89="FINANCE"),"Yes","No")</f>
        <v/>
      </c>
      <c r="V89" s="21">
        <f>IF(N89="Very Good",15%,IF(N89="Good",12%,IF(N89="Average",10%,"Not applicable")))</f>
        <v/>
      </c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</row>
    <row r="90" ht="18.75" customHeight="1" s="23">
      <c r="A90" s="17" t="inlineStr">
        <is>
          <t>EMP-95458</t>
        </is>
      </c>
      <c r="B90" s="17" t="inlineStr">
        <is>
          <t>PRATYANJA</t>
        </is>
      </c>
      <c r="C90" s="17" t="inlineStr">
        <is>
          <t>PRAKASH</t>
        </is>
      </c>
      <c r="D90" s="17" t="inlineStr">
        <is>
          <t>KATE</t>
        </is>
      </c>
      <c r="E90" s="18" t="n">
        <v>34644</v>
      </c>
      <c r="F90" s="18" t="n">
        <v>41126</v>
      </c>
      <c r="G90" s="17" t="n">
        <v>8</v>
      </c>
      <c r="H90" s="17" t="inlineStr">
        <is>
          <t>Loc-1001</t>
        </is>
      </c>
      <c r="I90" s="17" t="inlineStr">
        <is>
          <t>DELHI</t>
        </is>
      </c>
      <c r="J90" s="17" t="inlineStr">
        <is>
          <t>92220301xx</t>
        </is>
      </c>
      <c r="K90" s="17" t="inlineStr">
        <is>
          <t>Dept-105</t>
        </is>
      </c>
      <c r="L90" s="17" t="inlineStr">
        <is>
          <t>ADMIN</t>
        </is>
      </c>
      <c r="M90" s="17" t="inlineStr">
        <is>
          <t>B.E</t>
        </is>
      </c>
      <c r="N90" s="17" t="inlineStr">
        <is>
          <t>Average</t>
        </is>
      </c>
      <c r="O90" s="17" t="inlineStr">
        <is>
          <t>Female</t>
        </is>
      </c>
      <c r="P90" s="19" t="n">
        <v>49235.39999999999</v>
      </c>
      <c r="Q90" s="17">
        <f>IF(N90="Very Poor","Terminate","")</f>
        <v/>
      </c>
      <c r="R90" s="20">
        <f>IF(N90="Very Good",P90*5%,0)</f>
        <v/>
      </c>
      <c r="S90" s="17">
        <f>IF(P90&lt;40000,"Low",IF(AND(P90&gt;=41000,P90&lt;=80000),"Mid",IF(P90&gt;80000,"High","")))</f>
        <v/>
      </c>
      <c r="T90" s="17">
        <f>IF(AND(L90="HR",I90="MUMBAI"),"Yes","No")</f>
        <v/>
      </c>
      <c r="U90" s="17">
        <f>IF(OR(L90="HR",L90="FINANCE"),"Yes","No")</f>
        <v/>
      </c>
      <c r="V90" s="21">
        <f>IF(N90="Very Good",15%,IF(N90="Good",12%,IF(N90="Average",10%,"Not applicable")))</f>
        <v/>
      </c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</row>
    <row r="91" ht="18.75" customHeight="1" s="23">
      <c r="A91" s="17" t="inlineStr">
        <is>
          <t>EMP-95497</t>
        </is>
      </c>
      <c r="B91" s="17" t="inlineStr">
        <is>
          <t>PRATIKSHA</t>
        </is>
      </c>
      <c r="C91" s="17" t="inlineStr">
        <is>
          <t>PRASAD</t>
        </is>
      </c>
      <c r="D91" s="17" t="inlineStr">
        <is>
          <t>KANADE</t>
        </is>
      </c>
      <c r="E91" s="18" t="n">
        <v>34674</v>
      </c>
      <c r="F91" s="18" t="n">
        <v>41095</v>
      </c>
      <c r="G91" s="17" t="n">
        <v>6</v>
      </c>
      <c r="H91" s="17" t="inlineStr">
        <is>
          <t>Loc-1003</t>
        </is>
      </c>
      <c r="I91" s="17" t="inlineStr">
        <is>
          <t>NAGPUR</t>
        </is>
      </c>
      <c r="J91" s="17" t="inlineStr">
        <is>
          <t>91311323xx</t>
        </is>
      </c>
      <c r="K91" s="17" t="inlineStr">
        <is>
          <t>Dept-102</t>
        </is>
      </c>
      <c r="L91" s="17" t="inlineStr">
        <is>
          <t>HR</t>
        </is>
      </c>
      <c r="M91" s="17" t="inlineStr">
        <is>
          <t>PGDBM</t>
        </is>
      </c>
      <c r="N91" s="17" t="inlineStr">
        <is>
          <t>Very Poor</t>
        </is>
      </c>
      <c r="O91" s="17" t="inlineStr">
        <is>
          <t>Female</t>
        </is>
      </c>
      <c r="P91" s="19" t="n">
        <v>140360.67</v>
      </c>
      <c r="Q91" s="17">
        <f>IF(N91="Very Poor","Terminate","")</f>
        <v/>
      </c>
      <c r="R91" s="20">
        <f>IF(N91="Very Good",P91*5%,0)</f>
        <v/>
      </c>
      <c r="S91" s="17">
        <f>IF(P91&lt;40000,"Low",IF(AND(P91&gt;=41000,P91&lt;=80000),"Mid",IF(P91&gt;80000,"High","")))</f>
        <v/>
      </c>
      <c r="T91" s="17">
        <f>IF(AND(L91="HR",I91="MUMBAI"),"Yes","No")</f>
        <v/>
      </c>
      <c r="U91" s="17">
        <f>IF(OR(L91="HR",L91="FINANCE"),"Yes","No")</f>
        <v/>
      </c>
      <c r="V91" s="21">
        <f>IF(N91="Very Good",15%,IF(N91="Good",12%,IF(N91="Average",10%,"Not applicable")))</f>
        <v/>
      </c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</row>
    <row r="92" ht="18.75" customHeight="1" s="23">
      <c r="A92" s="17" t="inlineStr">
        <is>
          <t>EMP-95496</t>
        </is>
      </c>
      <c r="B92" s="17" t="inlineStr">
        <is>
          <t>PRATIK</t>
        </is>
      </c>
      <c r="C92" s="17" t="inlineStr">
        <is>
          <t>PRATAP</t>
        </is>
      </c>
      <c r="D92" s="17" t="inlineStr">
        <is>
          <t>KALE</t>
        </is>
      </c>
      <c r="E92" s="18" t="n">
        <v>34705</v>
      </c>
      <c r="F92" s="18" t="n">
        <v>41065</v>
      </c>
      <c r="G92" s="17" t="n">
        <v>7</v>
      </c>
      <c r="H92" s="17" t="inlineStr">
        <is>
          <t>Loc-1003</t>
        </is>
      </c>
      <c r="I92" s="17" t="inlineStr">
        <is>
          <t>NAGPUR</t>
        </is>
      </c>
      <c r="J92" s="17" t="inlineStr">
        <is>
          <t>90402345xx</t>
        </is>
      </c>
      <c r="K92" s="17" t="inlineStr">
        <is>
          <t>Dept-105</t>
        </is>
      </c>
      <c r="L92" s="17" t="inlineStr">
        <is>
          <t>ADMIN</t>
        </is>
      </c>
      <c r="M92" s="17" t="inlineStr">
        <is>
          <t>MBA</t>
        </is>
      </c>
      <c r="N92" s="17" t="inlineStr">
        <is>
          <t>Poor</t>
        </is>
      </c>
      <c r="O92" s="17" t="inlineStr">
        <is>
          <t>Male</t>
        </is>
      </c>
      <c r="P92" s="19" t="inlineStr"/>
      <c r="Q92" s="17">
        <f>IF(N92="Very Poor","Terminate","")</f>
        <v/>
      </c>
      <c r="R92" s="20">
        <f>IF(N92="Very Good",P92*5%,0)</f>
        <v/>
      </c>
      <c r="S92" s="17">
        <f>IF(P92&lt;40000,"Low",IF(AND(P92&gt;=41000,P92&lt;=80000),"Mid",IF(P92&gt;80000,"High","")))</f>
        <v/>
      </c>
      <c r="T92" s="17">
        <f>IF(AND(L92="HR",I92="MUMBAI"),"Yes","No")</f>
        <v/>
      </c>
      <c r="U92" s="17">
        <f>IF(OR(L92="HR",L92="FINANCE"),"Yes","No")</f>
        <v/>
      </c>
      <c r="V92" s="21">
        <f>IF(N92="Very Good",15%,IF(N92="Good",12%,IF(N92="Average",10%,"Not applicable")))</f>
        <v/>
      </c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</row>
    <row r="93" ht="18.75" customHeight="1" s="23">
      <c r="A93" s="17" t="inlineStr">
        <is>
          <t>EMP-95584</t>
        </is>
      </c>
      <c r="B93" s="17" t="inlineStr">
        <is>
          <t>PRASAD</t>
        </is>
      </c>
      <c r="C93" s="17" t="inlineStr">
        <is>
          <t>PRAVIN</t>
        </is>
      </c>
      <c r="D93" s="17" t="inlineStr">
        <is>
          <t>JOSHI</t>
        </is>
      </c>
      <c r="E93" s="18" t="n">
        <v>34764</v>
      </c>
      <c r="F93" s="18" t="n">
        <v>41004</v>
      </c>
      <c r="G93" s="17" t="n">
        <v>5</v>
      </c>
      <c r="H93" s="17" t="inlineStr">
        <is>
          <t>Loc-1006</t>
        </is>
      </c>
      <c r="I93" s="17" t="inlineStr">
        <is>
          <t>PUNE</t>
        </is>
      </c>
      <c r="J93" s="17" t="inlineStr">
        <is>
          <t>88584389xx</t>
        </is>
      </c>
      <c r="K93" s="17" t="inlineStr">
        <is>
          <t>Dept-104</t>
        </is>
      </c>
      <c r="L93" s="17" t="inlineStr">
        <is>
          <t>MARKETING</t>
        </is>
      </c>
      <c r="M93" s="17" t="inlineStr">
        <is>
          <t>MBA</t>
        </is>
      </c>
      <c r="N93" s="17" t="inlineStr">
        <is>
          <t>Very Poor</t>
        </is>
      </c>
      <c r="O93" s="17" t="inlineStr">
        <is>
          <t>Male</t>
        </is>
      </c>
      <c r="P93" s="19" t="inlineStr"/>
      <c r="Q93" s="17">
        <f>IF(N93="Very Poor","Terminate","")</f>
        <v/>
      </c>
      <c r="R93" s="20">
        <f>IF(N93="Very Good",P93*5%,0)</f>
        <v/>
      </c>
      <c r="S93" s="17">
        <f>IF(P93&lt;40000,"Low",IF(AND(P93&gt;=41000,P93&lt;=80000),"Mid",IF(P93&gt;80000,"High","")))</f>
        <v/>
      </c>
      <c r="T93" s="17">
        <f>IF(AND(L93="HR",I93="MUMBAI"),"Yes","No")</f>
        <v/>
      </c>
      <c r="U93" s="17">
        <f>IF(OR(L93="HR",L93="FINANCE"),"Yes","No")</f>
        <v/>
      </c>
      <c r="V93" s="21">
        <f>IF(N93="Very Good",15%,IF(N93="Good",12%,IF(N93="Average",10%,"Not applicable")))</f>
        <v/>
      </c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</row>
    <row r="94" ht="18.75" customHeight="1" s="23">
      <c r="A94" s="17" t="inlineStr">
        <is>
          <t>EMP-95585</t>
        </is>
      </c>
      <c r="B94" s="17" t="inlineStr">
        <is>
          <t>PRATIK</t>
        </is>
      </c>
      <c r="C94" s="17" t="inlineStr">
        <is>
          <t>PRAVIN</t>
        </is>
      </c>
      <c r="D94" s="17" t="inlineStr">
        <is>
          <t>KADAM</t>
        </is>
      </c>
      <c r="E94" s="18" t="n">
        <v>34736</v>
      </c>
      <c r="F94" s="18" t="n">
        <v>41034</v>
      </c>
      <c r="G94" s="17" t="n">
        <v>8</v>
      </c>
      <c r="H94" s="17" t="inlineStr">
        <is>
          <t>Loc-1006</t>
        </is>
      </c>
      <c r="I94" s="17" t="inlineStr">
        <is>
          <t>PUNE</t>
        </is>
      </c>
      <c r="J94" s="17" t="inlineStr">
        <is>
          <t>89493367xx</t>
        </is>
      </c>
      <c r="K94" s="17" t="inlineStr">
        <is>
          <t>Dept-104</t>
        </is>
      </c>
      <c r="L94" s="17" t="inlineStr">
        <is>
          <t>MARKETING</t>
        </is>
      </c>
      <c r="M94" s="17" t="inlineStr">
        <is>
          <t>MBA</t>
        </is>
      </c>
      <c r="N94" s="17" t="inlineStr">
        <is>
          <t>Not Rated</t>
        </is>
      </c>
      <c r="O94" s="17" t="inlineStr">
        <is>
          <t>Male</t>
        </is>
      </c>
      <c r="P94" s="19" t="n">
        <v>78179.94</v>
      </c>
      <c r="Q94" s="17">
        <f>IF(N94="Very Poor","Terminate","")</f>
        <v/>
      </c>
      <c r="R94" s="20">
        <f>IF(N94="Very Good",P94*5%,0)</f>
        <v/>
      </c>
      <c r="S94" s="17">
        <f>IF(P94&lt;40000,"Low",IF(AND(P94&gt;=41000,P94&lt;=80000),"Mid",IF(P94&gt;80000,"High","")))</f>
        <v/>
      </c>
      <c r="T94" s="17">
        <f>IF(AND(L94="HR",I94="MUMBAI"),"Yes","No")</f>
        <v/>
      </c>
      <c r="U94" s="17">
        <f>IF(OR(L94="HR",L94="FINANCE"),"Yes","No")</f>
        <v/>
      </c>
      <c r="V94" s="21">
        <f>IF(N94="Very Good",15%,IF(N94="Good",12%,IF(N94="Average",10%,"Not applicable")))</f>
        <v/>
      </c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</row>
    <row r="95" ht="18.75" customHeight="1" s="23">
      <c r="A95" s="17" t="inlineStr">
        <is>
          <t>EMP-95529</t>
        </is>
      </c>
      <c r="B95" s="17" t="inlineStr">
        <is>
          <t>OMKAR</t>
        </is>
      </c>
      <c r="C95" s="17" t="inlineStr">
        <is>
          <t>PURUSHOTTAM</t>
        </is>
      </c>
      <c r="D95" s="17" t="inlineStr">
        <is>
          <t>JOSHI</t>
        </is>
      </c>
      <c r="E95" s="18" t="n">
        <v>34795</v>
      </c>
      <c r="F95" s="18" t="n">
        <v>40973</v>
      </c>
      <c r="G95" s="17" t="n">
        <v>6</v>
      </c>
      <c r="H95" s="17" t="inlineStr">
        <is>
          <t>Loc-1004</t>
        </is>
      </c>
      <c r="I95" s="17" t="inlineStr">
        <is>
          <t>MUMBAI</t>
        </is>
      </c>
      <c r="J95" s="17" t="inlineStr">
        <is>
          <t>87675411xx</t>
        </is>
      </c>
      <c r="K95" s="17" t="inlineStr">
        <is>
          <t>Dept-103</t>
        </is>
      </c>
      <c r="L95" s="17" t="inlineStr">
        <is>
          <t>FINANCE</t>
        </is>
      </c>
      <c r="M95" s="17" t="inlineStr">
        <is>
          <t>CA</t>
        </is>
      </c>
      <c r="N95" s="17" t="inlineStr">
        <is>
          <t>Not Rated</t>
        </is>
      </c>
      <c r="O95" s="17" t="inlineStr">
        <is>
          <t>Male</t>
        </is>
      </c>
      <c r="P95" s="19" t="n">
        <v>32815.44</v>
      </c>
      <c r="Q95" s="17">
        <f>IF(N95="Very Poor","Terminate","")</f>
        <v/>
      </c>
      <c r="R95" s="20">
        <f>IF(N95="Very Good",P95*5%,0)</f>
        <v/>
      </c>
      <c r="S95" s="17">
        <f>IF(P95&lt;40000,"Low",IF(AND(P95&gt;=41000,P95&lt;=80000),"Mid",IF(P95&gt;80000,"High","")))</f>
        <v/>
      </c>
      <c r="T95" s="17">
        <f>IF(AND(L95="HR",I95="MUMBAI"),"Yes","No")</f>
        <v/>
      </c>
      <c r="U95" s="17">
        <f>IF(OR(L95="HR",L95="FINANCE"),"Yes","No")</f>
        <v/>
      </c>
      <c r="V95" s="21">
        <f>IF(N95="Very Good",15%,IF(N95="Good",12%,IF(N95="Average",10%,"Not applicable")))</f>
        <v/>
      </c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</row>
    <row r="96" ht="18.75" customHeight="1" s="23">
      <c r="A96" s="17" t="inlineStr">
        <is>
          <t>EMP-95495</t>
        </is>
      </c>
      <c r="B96" s="17" t="inlineStr">
        <is>
          <t>NISHA</t>
        </is>
      </c>
      <c r="C96" s="17" t="inlineStr">
        <is>
          <t>RACHUAPPA</t>
        </is>
      </c>
      <c r="D96" s="17" t="inlineStr">
        <is>
          <t>JOSHI</t>
        </is>
      </c>
      <c r="E96" s="18" t="n">
        <v>34825</v>
      </c>
      <c r="F96" s="18" t="n">
        <v>40944</v>
      </c>
      <c r="G96" s="17" t="n">
        <v>7</v>
      </c>
      <c r="H96" s="17" t="inlineStr">
        <is>
          <t>Loc-1003</t>
        </is>
      </c>
      <c r="I96" s="17" t="inlineStr">
        <is>
          <t>NAGPUR</t>
        </is>
      </c>
      <c r="J96" s="17" t="inlineStr">
        <is>
          <t>86766433xx</t>
        </is>
      </c>
      <c r="K96" s="17" t="inlineStr">
        <is>
          <t>Dept-102</t>
        </is>
      </c>
      <c r="L96" s="17" t="inlineStr">
        <is>
          <t>HR</t>
        </is>
      </c>
      <c r="M96" s="17" t="inlineStr">
        <is>
          <t>MBA</t>
        </is>
      </c>
      <c r="N96" s="17" t="inlineStr">
        <is>
          <t>Poor</t>
        </is>
      </c>
      <c r="O96" s="17" t="inlineStr">
        <is>
          <t>Female</t>
        </is>
      </c>
      <c r="P96" s="19" t="n">
        <v>84205.08</v>
      </c>
      <c r="Q96" s="17">
        <f>IF(N96="Very Poor","Terminate","")</f>
        <v/>
      </c>
      <c r="R96" s="20">
        <f>IF(N96="Very Good",P96*5%,0)</f>
        <v/>
      </c>
      <c r="S96" s="17">
        <f>IF(P96&lt;40000,"Low",IF(AND(P96&gt;=41000,P96&lt;=80000),"Mid",IF(P96&gt;80000,"High","")))</f>
        <v/>
      </c>
      <c r="T96" s="17">
        <f>IF(AND(L96="HR",I96="MUMBAI"),"Yes","No")</f>
        <v/>
      </c>
      <c r="U96" s="17">
        <f>IF(OR(L96="HR",L96="FINANCE"),"Yes","No")</f>
        <v/>
      </c>
      <c r="V96" s="21">
        <f>IF(N96="Very Good",15%,IF(N96="Good",12%,IF(N96="Average",10%,"Not applicable")))</f>
        <v/>
      </c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</row>
    <row r="97" ht="18.75" customHeight="1" s="23">
      <c r="A97" s="17" t="inlineStr">
        <is>
          <t>EMP-95456</t>
        </is>
      </c>
      <c r="B97" s="17" t="inlineStr">
        <is>
          <t>MRUNMAYEE</t>
        </is>
      </c>
      <c r="C97" s="17" t="inlineStr">
        <is>
          <t>RAJARAM</t>
        </is>
      </c>
      <c r="D97" s="17" t="inlineStr">
        <is>
          <t>JOGLEKAR</t>
        </is>
      </c>
      <c r="E97" s="18" t="n">
        <v>34856</v>
      </c>
      <c r="F97" s="18" t="n">
        <v>40913</v>
      </c>
      <c r="G97" s="17" t="n">
        <v>8</v>
      </c>
      <c r="H97" s="17" t="inlineStr">
        <is>
          <t>Loc-1001</t>
        </is>
      </c>
      <c r="I97" s="17" t="inlineStr">
        <is>
          <t>DELHI</t>
        </is>
      </c>
      <c r="J97" s="17" t="inlineStr">
        <is>
          <t>85857455xx</t>
        </is>
      </c>
      <c r="K97" s="17" t="inlineStr">
        <is>
          <t>Dept-103</t>
        </is>
      </c>
      <c r="L97" s="17" t="inlineStr">
        <is>
          <t>FINANCE</t>
        </is>
      </c>
      <c r="M97" s="17" t="inlineStr">
        <is>
          <t>M S</t>
        </is>
      </c>
      <c r="N97" s="17" t="inlineStr">
        <is>
          <t>Very Poor</t>
        </is>
      </c>
      <c r="O97" s="17" t="inlineStr">
        <is>
          <t>Female</t>
        </is>
      </c>
      <c r="P97" s="19" t="n">
        <v>145350</v>
      </c>
      <c r="Q97" s="17">
        <f>IF(N97="Very Poor","Terminate","")</f>
        <v/>
      </c>
      <c r="R97" s="20">
        <f>IF(N97="Very Good",P97*5%,0)</f>
        <v/>
      </c>
      <c r="S97" s="17">
        <f>IF(P97&lt;40000,"Low",IF(AND(P97&gt;=41000,P97&lt;=80000),"Mid",IF(P97&gt;80000,"High","")))</f>
        <v/>
      </c>
      <c r="T97" s="17">
        <f>IF(AND(L97="HR",I97="MUMBAI"),"Yes","No")</f>
        <v/>
      </c>
      <c r="U97" s="17">
        <f>IF(OR(L97="HR",L97="FINANCE"),"Yes","No")</f>
        <v/>
      </c>
      <c r="V97" s="21">
        <f>IF(N97="Very Good",15%,IF(N97="Good",12%,IF(N97="Average",10%,"Not applicable")))</f>
        <v/>
      </c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</row>
    <row r="98" ht="18.75" customHeight="1" s="23">
      <c r="A98" s="17" t="inlineStr">
        <is>
          <t>EMP-95455</t>
        </is>
      </c>
      <c r="B98" s="17" t="inlineStr">
        <is>
          <t>MOKSHA</t>
        </is>
      </c>
      <c r="C98" s="17" t="inlineStr">
        <is>
          <t>RAJEEV</t>
        </is>
      </c>
      <c r="D98" s="17" t="inlineStr">
        <is>
          <t>JAIN</t>
        </is>
      </c>
      <c r="E98" s="18" t="n">
        <v>34886</v>
      </c>
      <c r="F98" s="18" t="n">
        <v>40882</v>
      </c>
      <c r="G98" s="17" t="n">
        <v>6</v>
      </c>
      <c r="H98" s="17" t="inlineStr">
        <is>
          <t>Loc-1001</t>
        </is>
      </c>
      <c r="I98" s="17" t="inlineStr">
        <is>
          <t>DELHI</t>
        </is>
      </c>
      <c r="J98" s="17" t="inlineStr">
        <is>
          <t>84948477xx</t>
        </is>
      </c>
      <c r="K98" s="17" t="inlineStr">
        <is>
          <t>Dept-101</t>
        </is>
      </c>
      <c r="L98" s="17" t="inlineStr">
        <is>
          <t>PRODUCTION</t>
        </is>
      </c>
      <c r="M98" s="17" t="inlineStr">
        <is>
          <t>MBA</t>
        </is>
      </c>
      <c r="N98" s="17" t="inlineStr">
        <is>
          <t>Very Good</t>
        </is>
      </c>
      <c r="O98" s="17" t="inlineStr">
        <is>
          <t>Female</t>
        </is>
      </c>
      <c r="P98" s="19" t="n">
        <v>57938.04000000001</v>
      </c>
      <c r="Q98" s="17">
        <f>IF(N98="Very Poor","Terminate","")</f>
        <v/>
      </c>
      <c r="R98" s="20">
        <f>IF(N98="Very Good",P98*5%,0)</f>
        <v/>
      </c>
      <c r="S98" s="17">
        <f>IF(P98&lt;40000,"Low",IF(AND(P98&gt;=41000,P98&lt;=80000),"Mid",IF(P98&gt;80000,"High","")))</f>
        <v/>
      </c>
      <c r="T98" s="17">
        <f>IF(AND(L98="HR",I98="MUMBAI"),"Yes","No")</f>
        <v/>
      </c>
      <c r="U98" s="17">
        <f>IF(OR(L98="HR",L98="FINANCE"),"Yes","No")</f>
        <v/>
      </c>
      <c r="V98" s="21">
        <f>IF(N98="Very Good",15%,IF(N98="Good",12%,IF(N98="Average",10%,"Not applicable")))</f>
        <v/>
      </c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</row>
    <row r="99" ht="18.75" customHeight="1" s="23">
      <c r="A99" s="17" t="inlineStr">
        <is>
          <t>EMP-95472</t>
        </is>
      </c>
      <c r="B99" s="17" t="inlineStr">
        <is>
          <t>MEGH</t>
        </is>
      </c>
      <c r="C99" s="17" t="inlineStr">
        <is>
          <t>RAJENDRA</t>
        </is>
      </c>
      <c r="D99" s="17" t="inlineStr">
        <is>
          <t>JAGTAP</t>
        </is>
      </c>
      <c r="E99" s="18" t="n">
        <v>34917</v>
      </c>
      <c r="F99" s="18" t="n">
        <v>40852</v>
      </c>
      <c r="G99" s="17" t="n">
        <v>7</v>
      </c>
      <c r="H99" s="17" t="inlineStr">
        <is>
          <t>Loc-1002</t>
        </is>
      </c>
      <c r="I99" s="17" t="inlineStr">
        <is>
          <t>BANGALORE</t>
        </is>
      </c>
      <c r="J99" s="17" t="inlineStr">
        <is>
          <t>84039500xx</t>
        </is>
      </c>
      <c r="K99" s="17" t="inlineStr">
        <is>
          <t>Dept-104</t>
        </is>
      </c>
      <c r="L99" s="17" t="inlineStr">
        <is>
          <t>MARKETING</t>
        </is>
      </c>
      <c r="M99" s="17" t="inlineStr">
        <is>
          <t>MBA</t>
        </is>
      </c>
      <c r="N99" s="17" t="inlineStr">
        <is>
          <t>Very Good</t>
        </is>
      </c>
      <c r="O99" s="17" t="inlineStr">
        <is>
          <t>Male</t>
        </is>
      </c>
      <c r="P99" s="19" t="n">
        <v>110935.71</v>
      </c>
      <c r="Q99" s="17">
        <f>IF(N99="Very Poor","Terminate","")</f>
        <v/>
      </c>
      <c r="R99" s="20">
        <f>IF(N99="Very Good",P99*5%,0)</f>
        <v/>
      </c>
      <c r="S99" s="17">
        <f>IF(P99&lt;40000,"Low",IF(AND(P99&gt;=41000,P99&lt;=80000),"Mid",IF(P99&gt;80000,"High","")))</f>
        <v/>
      </c>
      <c r="T99" s="17">
        <f>IF(AND(L99="HR",I99="MUMBAI"),"Yes","No")</f>
        <v/>
      </c>
      <c r="U99" s="17">
        <f>IF(OR(L99="HR",L99="FINANCE"),"Yes","No")</f>
        <v/>
      </c>
      <c r="V99" s="21">
        <f>IF(N99="Very Good",15%,IF(N99="Good",12%,IF(N99="Average",10%,"Not applicable")))</f>
        <v/>
      </c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</row>
    <row r="100" ht="18.75" customHeight="1" s="23">
      <c r="A100" s="17" t="inlineStr">
        <is>
          <t>EMP-95583</t>
        </is>
      </c>
      <c r="B100" s="17" t="inlineStr">
        <is>
          <t>KSHITIJA</t>
        </is>
      </c>
      <c r="C100" s="17" t="inlineStr">
        <is>
          <t>RAJESH</t>
        </is>
      </c>
      <c r="D100" s="17" t="inlineStr">
        <is>
          <t>GUNJAL</t>
        </is>
      </c>
      <c r="E100" s="18" t="n">
        <v>35009</v>
      </c>
      <c r="F100" s="18" t="n">
        <v>40760</v>
      </c>
      <c r="G100" s="17" t="n">
        <v>6</v>
      </c>
      <c r="H100" s="17" t="inlineStr">
        <is>
          <t>Loc-1006</t>
        </is>
      </c>
      <c r="I100" s="17" t="inlineStr">
        <is>
          <t>PUNE</t>
        </is>
      </c>
      <c r="J100" s="17" t="inlineStr">
        <is>
          <t>81312566xx</t>
        </is>
      </c>
      <c r="K100" s="17" t="inlineStr">
        <is>
          <t>Dept-101</t>
        </is>
      </c>
      <c r="L100" s="17" t="inlineStr">
        <is>
          <t>PRODUCTION</t>
        </is>
      </c>
      <c r="M100" s="17" t="inlineStr">
        <is>
          <t>M.E</t>
        </is>
      </c>
      <c r="N100" s="17" t="inlineStr">
        <is>
          <t>Very Poor</t>
        </is>
      </c>
      <c r="O100" s="17" t="inlineStr">
        <is>
          <t>Female</t>
        </is>
      </c>
      <c r="P100" s="19" t="n">
        <v>121739.04</v>
      </c>
      <c r="Q100" s="17">
        <f>IF(N100="Very Poor","Terminate","")</f>
        <v/>
      </c>
      <c r="R100" s="20">
        <f>IF(N100="Very Good",P100*5%,0)</f>
        <v/>
      </c>
      <c r="S100" s="17">
        <f>IF(P100&lt;40000,"Low",IF(AND(P100&gt;=41000,P100&lt;=80000),"Mid",IF(P100&gt;80000,"High","")))</f>
        <v/>
      </c>
      <c r="T100" s="17">
        <f>IF(AND(L100="HR",I100="MUMBAI"),"Yes","No")</f>
        <v/>
      </c>
      <c r="U100" s="17">
        <f>IF(OR(L100="HR",L100="FINANCE"),"Yes","No")</f>
        <v/>
      </c>
      <c r="V100" s="21">
        <f>IF(N100="Very Good",15%,IF(N100="Good",12%,IF(N100="Average",10%,"Not applicable")))</f>
        <v/>
      </c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</row>
    <row r="101" ht="18.75" customHeight="1" s="23">
      <c r="A101" s="17" t="inlineStr">
        <is>
          <t>EMP-95564</t>
        </is>
      </c>
      <c r="B101" s="17" t="inlineStr">
        <is>
          <t>KUNAL</t>
        </is>
      </c>
      <c r="C101" s="17" t="inlineStr">
        <is>
          <t>RAJESH</t>
        </is>
      </c>
      <c r="D101" s="17" t="inlineStr">
        <is>
          <t>GUPTA</t>
        </is>
      </c>
      <c r="E101" s="18" t="n">
        <v>34978</v>
      </c>
      <c r="F101" s="18" t="n">
        <v>40791</v>
      </c>
      <c r="G101" s="17" t="n">
        <v>5</v>
      </c>
      <c r="H101" s="17" t="inlineStr">
        <is>
          <t>Loc-1005</t>
        </is>
      </c>
      <c r="I101" s="17" t="inlineStr">
        <is>
          <t>CHENNAI</t>
        </is>
      </c>
      <c r="J101" s="17" t="inlineStr">
        <is>
          <t>82221544xx</t>
        </is>
      </c>
      <c r="K101" s="17" t="inlineStr">
        <is>
          <t>Dept-103</t>
        </is>
      </c>
      <c r="L101" s="17" t="inlineStr">
        <is>
          <t>FINANCE</t>
        </is>
      </c>
      <c r="M101" s="17" t="inlineStr">
        <is>
          <t>MBA</t>
        </is>
      </c>
      <c r="N101" s="17" t="inlineStr">
        <is>
          <t>Very Poor</t>
        </is>
      </c>
      <c r="O101" s="17" t="inlineStr">
        <is>
          <t>Male</t>
        </is>
      </c>
      <c r="P101" s="19" t="n">
        <v>134748.63</v>
      </c>
      <c r="Q101" s="17">
        <f>IF(N101="Very Poor","Terminate","")</f>
        <v/>
      </c>
      <c r="R101" s="20">
        <f>IF(N101="Very Good",P101*5%,0)</f>
        <v/>
      </c>
      <c r="S101" s="17">
        <f>IF(P101&lt;40000,"Low",IF(AND(P101&gt;=41000,P101&lt;=80000),"Mid",IF(P101&gt;80000,"High","")))</f>
        <v/>
      </c>
      <c r="T101" s="17">
        <f>IF(AND(L101="HR",I101="MUMBAI"),"Yes","No")</f>
        <v/>
      </c>
      <c r="U101" s="17">
        <f>IF(OR(L101="HR",L101="FINANCE"),"Yes","No")</f>
        <v/>
      </c>
      <c r="V101" s="21">
        <f>IF(N101="Very Good",15%,IF(N101="Good",12%,IF(N101="Average",10%,"Not applicable")))</f>
        <v/>
      </c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</row>
    <row r="102" ht="18.75" customHeight="1" s="23">
      <c r="A102" s="17" t="inlineStr">
        <is>
          <t>EMP-95527</t>
        </is>
      </c>
      <c r="B102" s="17" t="inlineStr">
        <is>
          <t>MANALI</t>
        </is>
      </c>
      <c r="C102" s="17" t="inlineStr">
        <is>
          <t>RAJESH</t>
        </is>
      </c>
      <c r="D102" s="17" t="inlineStr">
        <is>
          <t>JADHAV</t>
        </is>
      </c>
      <c r="E102" s="18" t="n">
        <v>34948</v>
      </c>
      <c r="F102" s="18" t="n">
        <v>40821</v>
      </c>
      <c r="G102" s="17" t="n">
        <v>8</v>
      </c>
      <c r="H102" s="17" t="inlineStr">
        <is>
          <t>Loc-1004</t>
        </is>
      </c>
      <c r="I102" s="17" t="inlineStr">
        <is>
          <t>MUMBAI</t>
        </is>
      </c>
      <c r="J102" s="17" t="inlineStr">
        <is>
          <t>83130522xx</t>
        </is>
      </c>
      <c r="K102" s="17" t="inlineStr">
        <is>
          <t>Dept-102</t>
        </is>
      </c>
      <c r="L102" s="17" t="inlineStr">
        <is>
          <t>HR</t>
        </is>
      </c>
      <c r="M102" s="17" t="inlineStr">
        <is>
          <t>MCOM</t>
        </is>
      </c>
      <c r="N102" s="17" t="inlineStr">
        <is>
          <t>Very Good</t>
        </is>
      </c>
      <c r="O102" s="17" t="inlineStr">
        <is>
          <t>Female</t>
        </is>
      </c>
      <c r="P102" s="19" t="n">
        <v>128523.06</v>
      </c>
      <c r="Q102" s="17">
        <f>IF(N102="Very Poor","Terminate","")</f>
        <v/>
      </c>
      <c r="R102" s="20">
        <f>IF(N102="Very Good",P102*5%,0)</f>
        <v/>
      </c>
      <c r="S102" s="17">
        <f>IF(P102&lt;40000,"Low",IF(AND(P102&gt;=41000,P102&lt;=80000),"Mid",IF(P102&gt;80000,"High","")))</f>
        <v/>
      </c>
      <c r="T102" s="17">
        <f>IF(AND(L102="HR",I102="MUMBAI"),"Yes","No")</f>
        <v/>
      </c>
      <c r="U102" s="17">
        <f>IF(OR(L102="HR",L102="FINANCE"),"Yes","No")</f>
        <v/>
      </c>
      <c r="V102" s="21">
        <f>IF(N102="Very Good",15%,IF(N102="Good",12%,IF(N102="Average",10%,"Not applicable")))</f>
        <v/>
      </c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</row>
    <row r="103" ht="18.75" customHeight="1" s="23">
      <c r="A103" s="17" t="inlineStr">
        <is>
          <t>EMP-95582</t>
        </is>
      </c>
      <c r="B103" s="17" t="inlineStr">
        <is>
          <t>HARDIK</t>
        </is>
      </c>
      <c r="C103" s="17" t="inlineStr">
        <is>
          <t>RAJKUMAR</t>
        </is>
      </c>
      <c r="D103" s="17" t="inlineStr">
        <is>
          <t>GOKULE</t>
        </is>
      </c>
      <c r="E103" s="18" t="n">
        <v>35039</v>
      </c>
      <c r="F103" s="18" t="n">
        <v>40729</v>
      </c>
      <c r="G103" s="17" t="n">
        <v>7</v>
      </c>
      <c r="H103" s="17" t="inlineStr">
        <is>
          <t>Loc-1006</t>
        </is>
      </c>
      <c r="I103" s="17" t="inlineStr">
        <is>
          <t>PUNE</t>
        </is>
      </c>
      <c r="J103" s="17" t="inlineStr">
        <is>
          <t>80403588xx</t>
        </is>
      </c>
      <c r="K103" s="17" t="inlineStr">
        <is>
          <t>Dept-102</t>
        </is>
      </c>
      <c r="L103" s="17" t="inlineStr">
        <is>
          <t>HR</t>
        </is>
      </c>
      <c r="M103" s="17" t="inlineStr">
        <is>
          <t>PGDBM</t>
        </is>
      </c>
      <c r="N103" s="17" t="inlineStr">
        <is>
          <t>Poor</t>
        </is>
      </c>
      <c r="O103" s="17" t="inlineStr">
        <is>
          <t>Male</t>
        </is>
      </c>
      <c r="P103" s="19" t="n">
        <v>36677.16</v>
      </c>
      <c r="Q103" s="17">
        <f>IF(N103="Very Poor","Terminate","")</f>
        <v/>
      </c>
      <c r="R103" s="20">
        <f>IF(N103="Very Good",P103*5%,0)</f>
        <v/>
      </c>
      <c r="S103" s="17">
        <f>IF(P103&lt;40000,"Low",IF(AND(P103&gt;=41000,P103&lt;=80000),"Mid",IF(P103&gt;80000,"High","")))</f>
        <v/>
      </c>
      <c r="T103" s="17">
        <f>IF(AND(L103="HR",I103="MUMBAI"),"Yes","No")</f>
        <v/>
      </c>
      <c r="U103" s="17">
        <f>IF(OR(L103="HR",L103="FINANCE"),"Yes","No")</f>
        <v/>
      </c>
      <c r="V103" s="21">
        <f>IF(N103="Very Good",15%,IF(N103="Good",12%,IF(N103="Average",10%,"Not applicable")))</f>
        <v/>
      </c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</row>
    <row r="104" ht="18.75" customHeight="1" s="23">
      <c r="A104" s="17" t="inlineStr">
        <is>
          <t>EMP-95513</t>
        </is>
      </c>
      <c r="B104" s="17" t="inlineStr">
        <is>
          <t>GAURAV</t>
        </is>
      </c>
      <c r="C104" s="17" t="inlineStr">
        <is>
          <t>RAMAN</t>
        </is>
      </c>
      <c r="D104" s="17" t="inlineStr">
        <is>
          <t>GOKARN</t>
        </is>
      </c>
      <c r="E104" s="18" t="n">
        <v>35070</v>
      </c>
      <c r="F104" s="18" t="n">
        <v>40699</v>
      </c>
      <c r="G104" s="17" t="n">
        <v>8</v>
      </c>
      <c r="H104" s="17" t="inlineStr">
        <is>
          <t>Loc-1004</t>
        </is>
      </c>
      <c r="I104" s="17" t="inlineStr">
        <is>
          <t>MUMBAI</t>
        </is>
      </c>
      <c r="J104" s="17" t="inlineStr">
        <is>
          <t>79494610xx</t>
        </is>
      </c>
      <c r="K104" s="17" t="inlineStr">
        <is>
          <t>Dept-101</t>
        </is>
      </c>
      <c r="L104" s="17" t="inlineStr">
        <is>
          <t>PRODUCTION</t>
        </is>
      </c>
      <c r="M104" s="17" t="inlineStr">
        <is>
          <t>BBA</t>
        </is>
      </c>
      <c r="N104" s="17" t="inlineStr">
        <is>
          <t>Very Poor</t>
        </is>
      </c>
      <c r="O104" s="17" t="inlineStr">
        <is>
          <t>Male</t>
        </is>
      </c>
      <c r="P104" s="19" t="n">
        <v>91633.23000000001</v>
      </c>
      <c r="Q104" s="17">
        <f>IF(N104="Very Poor","Terminate","")</f>
        <v/>
      </c>
      <c r="R104" s="20">
        <f>IF(N104="Very Good",P104*5%,0)</f>
        <v/>
      </c>
      <c r="S104" s="17">
        <f>IF(P104&lt;40000,"Low",IF(AND(P104&gt;=41000,P104&lt;=80000),"Mid",IF(P104&gt;80000,"High","")))</f>
        <v/>
      </c>
      <c r="T104" s="17">
        <f>IF(AND(L104="HR",I104="MUMBAI"),"Yes","No")</f>
        <v/>
      </c>
      <c r="U104" s="17">
        <f>IF(OR(L104="HR",L104="FINANCE"),"Yes","No")</f>
        <v/>
      </c>
      <c r="V104" s="21">
        <f>IF(N104="Very Good",15%,IF(N104="Good",12%,IF(N104="Average",10%,"Not applicable")))</f>
        <v/>
      </c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</row>
    <row r="105" ht="18.75" customHeight="1" s="23">
      <c r="A105" s="17" t="inlineStr">
        <is>
          <t>EMP-95542</t>
        </is>
      </c>
      <c r="B105" s="17" t="inlineStr">
        <is>
          <t>DEBOLINA</t>
        </is>
      </c>
      <c r="C105" s="17" t="inlineStr">
        <is>
          <t>RAMCHANDRA</t>
        </is>
      </c>
      <c r="D105" s="17" t="inlineStr">
        <is>
          <t>GODHANE</t>
        </is>
      </c>
      <c r="E105" s="18" t="n">
        <v>35101</v>
      </c>
      <c r="F105" s="18" t="n">
        <v>40668</v>
      </c>
      <c r="G105" s="17" t="n">
        <v>6</v>
      </c>
      <c r="H105" s="17" t="inlineStr">
        <is>
          <t>Loc-1005</t>
        </is>
      </c>
      <c r="I105" s="17" t="inlineStr">
        <is>
          <t>CHENNAI</t>
        </is>
      </c>
      <c r="J105" s="17" t="inlineStr">
        <is>
          <t>78585632xx</t>
        </is>
      </c>
      <c r="K105" s="17" t="inlineStr">
        <is>
          <t>Dept-105</t>
        </is>
      </c>
      <c r="L105" s="17" t="inlineStr">
        <is>
          <t>ADMIN</t>
        </is>
      </c>
      <c r="M105" s="17" t="inlineStr">
        <is>
          <t>MBA</t>
        </is>
      </c>
      <c r="N105" s="17" t="inlineStr">
        <is>
          <t>Poor</t>
        </is>
      </c>
      <c r="O105" s="17" t="inlineStr">
        <is>
          <t>Female</t>
        </is>
      </c>
      <c r="P105" s="19" t="n">
        <v>101186.55</v>
      </c>
      <c r="Q105" s="17">
        <f>IF(N105="Very Poor","Terminate","")</f>
        <v/>
      </c>
      <c r="R105" s="20">
        <f>IF(N105="Very Good",P105*5%,0)</f>
        <v/>
      </c>
      <c r="S105" s="17">
        <f>IF(P105&lt;40000,"Low",IF(AND(P105&gt;=41000,P105&lt;=80000),"Mid",IF(P105&gt;80000,"High","")))</f>
        <v/>
      </c>
      <c r="T105" s="17">
        <f>IF(AND(L105="HR",I105="MUMBAI"),"Yes","No")</f>
        <v/>
      </c>
      <c r="U105" s="17">
        <f>IF(OR(L105="HR",L105="FINANCE"),"Yes","No")</f>
        <v/>
      </c>
      <c r="V105" s="21">
        <f>IF(N105="Very Good",15%,IF(N105="Good",12%,IF(N105="Average",10%,"Not applicable")))</f>
        <v/>
      </c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</row>
    <row r="106" ht="18.75" customHeight="1" s="23">
      <c r="A106" s="17" t="inlineStr">
        <is>
          <t>EMP-95443</t>
        </is>
      </c>
      <c r="B106" s="17" t="inlineStr">
        <is>
          <t>ASHWINI</t>
        </is>
      </c>
      <c r="C106" s="17" t="inlineStr">
        <is>
          <t>RAMESH</t>
        </is>
      </c>
      <c r="D106" s="17" t="inlineStr">
        <is>
          <t>GHATE</t>
        </is>
      </c>
      <c r="E106" s="18" t="n">
        <v>35161</v>
      </c>
      <c r="F106" s="18" t="n">
        <v>40607</v>
      </c>
      <c r="G106" s="17" t="n">
        <v>8</v>
      </c>
      <c r="H106" s="17" t="inlineStr">
        <is>
          <t>Loc-1001</t>
        </is>
      </c>
      <c r="I106" s="17" t="inlineStr">
        <is>
          <t>DELHI</t>
        </is>
      </c>
      <c r="J106" s="17" t="inlineStr">
        <is>
          <t>76747676xx</t>
        </is>
      </c>
      <c r="K106" s="17" t="inlineStr">
        <is>
          <t>Dept-102</t>
        </is>
      </c>
      <c r="L106" s="17" t="inlineStr">
        <is>
          <t>HR</t>
        </is>
      </c>
      <c r="M106" s="17" t="inlineStr">
        <is>
          <t>M.E</t>
        </is>
      </c>
      <c r="N106" s="17" t="inlineStr">
        <is>
          <t>Good</t>
        </is>
      </c>
      <c r="O106" s="17" t="inlineStr">
        <is>
          <t>Female</t>
        </is>
      </c>
      <c r="P106" s="19" t="n">
        <v>61951.23</v>
      </c>
      <c r="Q106" s="17">
        <f>IF(N106="Very Poor","Terminate","")</f>
        <v/>
      </c>
      <c r="R106" s="20">
        <f>IF(N106="Very Good",P106*5%,0)</f>
        <v/>
      </c>
      <c r="S106" s="17">
        <f>IF(P106&lt;40000,"Low",IF(AND(P106&gt;=41000,P106&lt;=80000),"Mid",IF(P106&gt;80000,"High","")))</f>
        <v/>
      </c>
      <c r="T106" s="17">
        <f>IF(AND(L106="HR",I106="MUMBAI"),"Yes","No")</f>
        <v/>
      </c>
      <c r="U106" s="17">
        <f>IF(OR(L106="HR",L106="FINANCE"),"Yes","No")</f>
        <v/>
      </c>
      <c r="V106" s="21">
        <f>IF(N106="Very Good",15%,IF(N106="Good",12%,IF(N106="Average",10%,"Not applicable")))</f>
        <v/>
      </c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</row>
    <row r="107" ht="18.75" customHeight="1" s="23">
      <c r="A107" s="17" t="inlineStr">
        <is>
          <t>EMP-95503</t>
        </is>
      </c>
      <c r="B107" s="17" t="inlineStr">
        <is>
          <t>BHAGYASHRI</t>
        </is>
      </c>
      <c r="C107" s="17" t="inlineStr">
        <is>
          <t>RAMESH</t>
        </is>
      </c>
      <c r="D107" s="17" t="inlineStr">
        <is>
          <t>GHOMAN</t>
        </is>
      </c>
      <c r="E107" s="18" t="n">
        <v>35130</v>
      </c>
      <c r="F107" s="18" t="n">
        <v>40638</v>
      </c>
      <c r="G107" s="17" t="n">
        <v>7</v>
      </c>
      <c r="H107" s="17" t="inlineStr">
        <is>
          <t>Loc-1004</t>
        </is>
      </c>
      <c r="I107" s="17" t="inlineStr">
        <is>
          <t>MUMBAI</t>
        </is>
      </c>
      <c r="J107" s="17" t="inlineStr">
        <is>
          <t>77676654xx</t>
        </is>
      </c>
      <c r="K107" s="17" t="inlineStr">
        <is>
          <t>Dept-105</t>
        </is>
      </c>
      <c r="L107" s="17" t="inlineStr">
        <is>
          <t>ADMIN</t>
        </is>
      </c>
      <c r="M107" s="17" t="inlineStr">
        <is>
          <t>ICWA</t>
        </is>
      </c>
      <c r="N107" s="17" t="inlineStr">
        <is>
          <t>Very Good</t>
        </is>
      </c>
      <c r="O107" s="17" t="inlineStr">
        <is>
          <t>Female</t>
        </is>
      </c>
      <c r="P107" s="19" t="n">
        <v>37922.58</v>
      </c>
      <c r="Q107" s="17">
        <f>IF(N107="Very Poor","Terminate","")</f>
        <v/>
      </c>
      <c r="R107" s="20">
        <f>IF(N107="Very Good",P107*5%,0)</f>
        <v/>
      </c>
      <c r="S107" s="17">
        <f>IF(P107&lt;40000,"Low",IF(AND(P107&gt;=41000,P107&lt;=80000),"Mid",IF(P107&gt;80000,"High","")))</f>
        <v/>
      </c>
      <c r="T107" s="17">
        <f>IF(AND(L107="HR",I107="MUMBAI"),"Yes","No")</f>
        <v/>
      </c>
      <c r="U107" s="17">
        <f>IF(OR(L107="HR",L107="FINANCE"),"Yes","No")</f>
        <v/>
      </c>
      <c r="V107" s="21">
        <f>IF(N107="Very Good",15%,IF(N107="Good",12%,IF(N107="Average",10%,"Not applicable")))</f>
        <v/>
      </c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</row>
    <row r="108" ht="18.75" customHeight="1" s="23">
      <c r="A108" s="17" t="inlineStr">
        <is>
          <t>EMP-95540</t>
        </is>
      </c>
      <c r="B108" s="17" t="inlineStr">
        <is>
          <t>ARATI</t>
        </is>
      </c>
      <c r="C108" s="17" t="inlineStr">
        <is>
          <t>RAMESHRAO</t>
        </is>
      </c>
      <c r="D108" s="17" t="inlineStr">
        <is>
          <t>GAWADE</t>
        </is>
      </c>
      <c r="E108" s="18" t="n">
        <v>35191</v>
      </c>
      <c r="F108" s="18" t="n">
        <v>40579</v>
      </c>
      <c r="G108" s="17" t="n">
        <v>5</v>
      </c>
      <c r="H108" s="17" t="inlineStr">
        <is>
          <t>Loc-1004</t>
        </is>
      </c>
      <c r="I108" s="17" t="inlineStr">
        <is>
          <t>MUMBAI</t>
        </is>
      </c>
      <c r="J108" s="17" t="inlineStr">
        <is>
          <t>99891970xx</t>
        </is>
      </c>
      <c r="K108" s="17" t="inlineStr">
        <is>
          <t>Dept-102</t>
        </is>
      </c>
      <c r="L108" s="17" t="inlineStr">
        <is>
          <t>HR</t>
        </is>
      </c>
      <c r="M108" s="17" t="inlineStr">
        <is>
          <t>M S</t>
        </is>
      </c>
      <c r="N108" s="17" t="inlineStr">
        <is>
          <t>Not Rated</t>
        </is>
      </c>
      <c r="O108" s="17" t="inlineStr">
        <is>
          <t>Female</t>
        </is>
      </c>
      <c r="P108" s="19" t="n">
        <v>43826.85</v>
      </c>
      <c r="Q108" s="17">
        <f>IF(N108="Very Poor","Terminate","")</f>
        <v/>
      </c>
      <c r="R108" s="20">
        <f>IF(N108="Very Good",P108*5%,0)</f>
        <v/>
      </c>
      <c r="S108" s="17">
        <f>IF(P108&lt;40000,"Low",IF(AND(P108&gt;=41000,P108&lt;=80000),"Mid",IF(P108&gt;80000,"High","")))</f>
        <v/>
      </c>
      <c r="T108" s="17">
        <f>IF(AND(L108="HR",I108="MUMBAI"),"Yes","No")</f>
        <v/>
      </c>
      <c r="U108" s="17">
        <f>IF(OR(L108="HR",L108="FINANCE"),"Yes","No")</f>
        <v/>
      </c>
      <c r="V108" s="21">
        <f>IF(N108="Very Good",15%,IF(N108="Good",12%,IF(N108="Average",10%,"Not applicable")))</f>
        <v/>
      </c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</row>
    <row r="109" ht="18.75" customHeight="1" s="23">
      <c r="A109" s="17" t="inlineStr">
        <is>
          <t>EMP-95575</t>
        </is>
      </c>
      <c r="B109" s="17" t="inlineStr">
        <is>
          <t>ANKIT</t>
        </is>
      </c>
      <c r="C109" s="17" t="inlineStr">
        <is>
          <t>SAJJAD</t>
        </is>
      </c>
      <c r="D109" s="17" t="inlineStr">
        <is>
          <t>GAVHANE</t>
        </is>
      </c>
      <c r="E109" s="18" t="n">
        <v>35222</v>
      </c>
      <c r="F109" s="18" t="n">
        <v>40548</v>
      </c>
      <c r="G109" s="17" t="n">
        <v>6</v>
      </c>
      <c r="H109" s="17" t="inlineStr">
        <is>
          <t>Loc-1005</t>
        </is>
      </c>
      <c r="I109" s="17" t="inlineStr">
        <is>
          <t>CHENNAI</t>
        </is>
      </c>
      <c r="J109" s="17" t="inlineStr">
        <is>
          <t>98791870xx</t>
        </is>
      </c>
      <c r="K109" s="17" t="inlineStr">
        <is>
          <t>Dept-102</t>
        </is>
      </c>
      <c r="L109" s="17" t="inlineStr">
        <is>
          <t>HR</t>
        </is>
      </c>
      <c r="M109" s="17" t="inlineStr">
        <is>
          <t>PGDBM</t>
        </is>
      </c>
      <c r="N109" s="17" t="inlineStr">
        <is>
          <t>Very Poor</t>
        </is>
      </c>
      <c r="O109" s="17" t="inlineStr">
        <is>
          <t>Male</t>
        </is>
      </c>
      <c r="P109" s="19" t="n">
        <v>47947.14</v>
      </c>
      <c r="Q109" s="17">
        <f>IF(N109="Very Poor","Terminate","")</f>
        <v/>
      </c>
      <c r="R109" s="20">
        <f>IF(N109="Very Good",P109*5%,0)</f>
        <v/>
      </c>
      <c r="S109" s="17">
        <f>IF(P109&lt;40000,"Low",IF(AND(P109&gt;=41000,P109&lt;=80000),"Mid",IF(P109&gt;80000,"High","")))</f>
        <v/>
      </c>
      <c r="T109" s="17">
        <f>IF(AND(L109="HR",I109="MUMBAI"),"Yes","No")</f>
        <v/>
      </c>
      <c r="U109" s="17">
        <f>IF(OR(L109="HR",L109="FINANCE"),"Yes","No")</f>
        <v/>
      </c>
      <c r="V109" s="21">
        <f>IF(N109="Very Good",15%,IF(N109="Good",12%,IF(N109="Average",10%,"Not applicable")))</f>
        <v/>
      </c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</row>
    <row r="110" ht="18.75" customHeight="1" s="23">
      <c r="A110" s="17" t="inlineStr">
        <is>
          <t>EMP-95574</t>
        </is>
      </c>
      <c r="B110" s="17" t="inlineStr">
        <is>
          <t>AAKASH</t>
        </is>
      </c>
      <c r="C110" s="17" t="inlineStr">
        <is>
          <t>SAMBHAJI</t>
        </is>
      </c>
      <c r="D110" s="17" t="inlineStr">
        <is>
          <t>GATTANI</t>
        </is>
      </c>
      <c r="E110" s="18" t="n">
        <v>35252</v>
      </c>
      <c r="F110" s="18" t="n">
        <v>40517</v>
      </c>
      <c r="G110" s="17" t="n">
        <v>7</v>
      </c>
      <c r="H110" s="17" t="inlineStr">
        <is>
          <t>Loc-1005</t>
        </is>
      </c>
      <c r="I110" s="17" t="inlineStr">
        <is>
          <t>CHENNAI</t>
        </is>
      </c>
      <c r="J110" s="17" t="inlineStr">
        <is>
          <t>97691770xx</t>
        </is>
      </c>
      <c r="K110" s="17" t="inlineStr">
        <is>
          <t>Dept-105</t>
        </is>
      </c>
      <c r="L110" s="17" t="inlineStr">
        <is>
          <t>ADMIN</t>
        </is>
      </c>
      <c r="M110" s="17" t="inlineStr">
        <is>
          <t>MBA</t>
        </is>
      </c>
      <c r="N110" s="17" t="inlineStr">
        <is>
          <t>Good</t>
        </is>
      </c>
      <c r="O110" s="17" t="inlineStr">
        <is>
          <t>Male</t>
        </is>
      </c>
      <c r="P110" s="19" t="n">
        <v>81620.91</v>
      </c>
      <c r="Q110" s="17">
        <f>IF(N110="Very Poor","Terminate","")</f>
        <v/>
      </c>
      <c r="R110" s="20">
        <f>IF(N110="Very Good",P110*5%,0)</f>
        <v/>
      </c>
      <c r="S110" s="17">
        <f>IF(P110&lt;40000,"Low",IF(AND(P110&gt;=41000,P110&lt;=80000),"Mid",IF(P110&gt;80000,"High","")))</f>
        <v/>
      </c>
      <c r="T110" s="17">
        <f>IF(AND(L110="HR",I110="MUMBAI"),"Yes","No")</f>
        <v/>
      </c>
      <c r="U110" s="17">
        <f>IF(OR(L110="HR",L110="FINANCE"),"Yes","No")</f>
        <v/>
      </c>
      <c r="V110" s="21">
        <f>IF(N110="Very Good",15%,IF(N110="Good",12%,IF(N110="Average",10%,"Not applicable")))</f>
        <v/>
      </c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</row>
    <row r="111" ht="18.75" customHeight="1" s="23">
      <c r="A111" s="17" t="inlineStr">
        <is>
          <t>EMP-95498</t>
        </is>
      </c>
      <c r="B111" s="17" t="inlineStr">
        <is>
          <t>SHUBHI</t>
        </is>
      </c>
      <c r="C111" s="17" t="inlineStr">
        <is>
          <t>SANJAY</t>
        </is>
      </c>
      <c r="D111" s="17" t="inlineStr">
        <is>
          <t>FARATE</t>
        </is>
      </c>
      <c r="E111" s="18" t="n">
        <v>35375</v>
      </c>
      <c r="F111" s="18" t="n">
        <v>40395</v>
      </c>
      <c r="G111" s="17" t="n">
        <v>8</v>
      </c>
      <c r="H111" s="17" t="inlineStr">
        <is>
          <t>Loc-1003</t>
        </is>
      </c>
      <c r="I111" s="17" t="inlineStr">
        <is>
          <t>NAGPUR</t>
        </is>
      </c>
      <c r="J111" s="17" t="inlineStr">
        <is>
          <t>93291369xx</t>
        </is>
      </c>
      <c r="K111" s="17" t="inlineStr">
        <is>
          <t>Dept-103</t>
        </is>
      </c>
      <c r="L111" s="17" t="inlineStr">
        <is>
          <t>FINANCE</t>
        </is>
      </c>
      <c r="M111" s="17" t="inlineStr">
        <is>
          <t>CS</t>
        </is>
      </c>
      <c r="N111" s="17" t="inlineStr">
        <is>
          <t>Poor</t>
        </is>
      </c>
      <c r="O111" s="17" t="inlineStr">
        <is>
          <t>Female</t>
        </is>
      </c>
      <c r="P111" s="19" t="n">
        <v>38396.88</v>
      </c>
      <c r="Q111" s="17">
        <f>IF(N111="Very Poor","Terminate","")</f>
        <v/>
      </c>
      <c r="R111" s="20">
        <f>IF(N111="Very Good",P111*5%,0)</f>
        <v/>
      </c>
      <c r="S111" s="17">
        <f>IF(P111&lt;40000,"Low",IF(AND(P111&gt;=41000,P111&lt;=80000),"Mid",IF(P111&gt;80000,"High","")))</f>
        <v/>
      </c>
      <c r="T111" s="17">
        <f>IF(AND(L111="HR",I111="MUMBAI"),"Yes","No")</f>
        <v/>
      </c>
      <c r="U111" s="17">
        <f>IF(OR(L111="HR",L111="FINANCE"),"Yes","No")</f>
        <v/>
      </c>
      <c r="V111" s="21">
        <f>IF(N111="Very Good",15%,IF(N111="Good",12%,IF(N111="Average",10%,"Not applicable")))</f>
        <v/>
      </c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</row>
    <row r="112" ht="18.75" customHeight="1" s="23">
      <c r="A112" s="17" t="inlineStr">
        <is>
          <t>EMP-95569</t>
        </is>
      </c>
      <c r="B112" s="17" t="inlineStr">
        <is>
          <t>TEJASWI</t>
        </is>
      </c>
      <c r="C112" s="17" t="inlineStr">
        <is>
          <t>SANJAY</t>
        </is>
      </c>
      <c r="D112" s="17" t="inlineStr">
        <is>
          <t>GAIKWAD</t>
        </is>
      </c>
      <c r="E112" s="18" t="n">
        <v>35344</v>
      </c>
      <c r="F112" s="18" t="n">
        <v>40426</v>
      </c>
      <c r="G112" s="17" t="n">
        <v>7</v>
      </c>
      <c r="H112" s="17" t="inlineStr">
        <is>
          <t>Loc-1005</t>
        </is>
      </c>
      <c r="I112" s="17" t="inlineStr">
        <is>
          <t>CHENNAI</t>
        </is>
      </c>
      <c r="J112" s="17" t="inlineStr">
        <is>
          <t>94391469xx</t>
        </is>
      </c>
      <c r="K112" s="17" t="inlineStr">
        <is>
          <t>Dept-101</t>
        </is>
      </c>
      <c r="L112" s="17" t="inlineStr">
        <is>
          <t>PRODUCTION</t>
        </is>
      </c>
      <c r="M112" s="17" t="inlineStr">
        <is>
          <t>ICWA</t>
        </is>
      </c>
      <c r="N112" s="17" t="inlineStr">
        <is>
          <t>Good</t>
        </is>
      </c>
      <c r="O112" s="17" t="inlineStr">
        <is>
          <t>Female</t>
        </is>
      </c>
      <c r="P112" s="19" t="n">
        <v>67194.54000000001</v>
      </c>
      <c r="Q112" s="17">
        <f>IF(N112="Very Poor","Terminate","")</f>
        <v/>
      </c>
      <c r="R112" s="20">
        <f>IF(N112="Very Good",P112*5%,0)</f>
        <v/>
      </c>
      <c r="S112" s="17">
        <f>IF(P112&lt;40000,"Low",IF(AND(P112&gt;=41000,P112&lt;=80000),"Mid",IF(P112&gt;80000,"High","")))</f>
        <v/>
      </c>
      <c r="T112" s="17">
        <f>IF(AND(L112="HR",I112="MUMBAI"),"Yes","No")</f>
        <v/>
      </c>
      <c r="U112" s="17">
        <f>IF(OR(L112="HR",L112="FINANCE"),"Yes","No")</f>
        <v/>
      </c>
      <c r="V112" s="21">
        <f>IF(N112="Very Good",15%,IF(N112="Good",12%,IF(N112="Average",10%,"Not applicable")))</f>
        <v/>
      </c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</row>
    <row r="113" ht="18.75" customHeight="1" s="23">
      <c r="A113" s="17" t="inlineStr">
        <is>
          <t>EMP-95571</t>
        </is>
      </c>
      <c r="B113" s="17" t="inlineStr">
        <is>
          <t>VIPUL</t>
        </is>
      </c>
      <c r="C113" s="17" t="inlineStr">
        <is>
          <t>SANJAY</t>
        </is>
      </c>
      <c r="D113" s="17" t="inlineStr">
        <is>
          <t>GAIKWAD</t>
        </is>
      </c>
      <c r="E113" s="18" t="n">
        <v>35314</v>
      </c>
      <c r="F113" s="18" t="n">
        <v>40456</v>
      </c>
      <c r="G113" s="17" t="n">
        <v>6</v>
      </c>
      <c r="H113" s="17" t="inlineStr">
        <is>
          <t>Loc-1005</t>
        </is>
      </c>
      <c r="I113" s="17" t="inlineStr">
        <is>
          <t>CHENNAI</t>
        </is>
      </c>
      <c r="J113" s="17" t="inlineStr">
        <is>
          <t>95491569xx</t>
        </is>
      </c>
      <c r="K113" s="17" t="inlineStr">
        <is>
          <t>Dept-101</t>
        </is>
      </c>
      <c r="L113" s="17" t="inlineStr">
        <is>
          <t>PRODUCTION</t>
        </is>
      </c>
      <c r="M113" s="17" t="inlineStr">
        <is>
          <t>MBA</t>
        </is>
      </c>
      <c r="N113" s="17" t="inlineStr">
        <is>
          <t>Very Good</t>
        </is>
      </c>
      <c r="O113" s="17" t="inlineStr">
        <is>
          <t>Male</t>
        </is>
      </c>
      <c r="P113" s="19" t="n">
        <v>87978.06</v>
      </c>
      <c r="Q113" s="17">
        <f>IF(N113="Very Poor","Terminate","")</f>
        <v/>
      </c>
      <c r="R113" s="20">
        <f>IF(N113="Very Good",P113*5%,0)</f>
        <v/>
      </c>
      <c r="S113" s="17">
        <f>IF(P113&lt;40000,"Low",IF(AND(P113&gt;=41000,P113&lt;=80000),"Mid",IF(P113&gt;80000,"High","")))</f>
        <v/>
      </c>
      <c r="T113" s="17">
        <f>IF(AND(L113="HR",I113="MUMBAI"),"Yes","No")</f>
        <v/>
      </c>
      <c r="U113" s="17">
        <f>IF(OR(L113="HR",L113="FINANCE"),"Yes","No")</f>
        <v/>
      </c>
      <c r="V113" s="21">
        <f>IF(N113="Very Good",15%,IF(N113="Good",12%,IF(N113="Average",10%,"Not applicable")))</f>
        <v/>
      </c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</row>
    <row r="114" ht="18.75" customHeight="1" s="23">
      <c r="A114" s="17" t="inlineStr">
        <is>
          <t>EMP-95476</t>
        </is>
      </c>
      <c r="B114" s="17" t="inlineStr">
        <is>
          <t>YASH</t>
        </is>
      </c>
      <c r="C114" s="17" t="inlineStr">
        <is>
          <t>SANJAY</t>
        </is>
      </c>
      <c r="D114" s="17" t="inlineStr">
        <is>
          <t>GARG</t>
        </is>
      </c>
      <c r="E114" s="18" t="n">
        <v>35283</v>
      </c>
      <c r="F114" s="18" t="n">
        <v>40487</v>
      </c>
      <c r="G114" s="17" t="n">
        <v>8</v>
      </c>
      <c r="H114" s="17" t="inlineStr">
        <is>
          <t>Loc-1002</t>
        </is>
      </c>
      <c r="I114" s="17" t="inlineStr">
        <is>
          <t>BANGALORE</t>
        </is>
      </c>
      <c r="J114" s="17" t="inlineStr">
        <is>
          <t>96591669xx</t>
        </is>
      </c>
      <c r="K114" s="17" t="inlineStr">
        <is>
          <t>Dept-105</t>
        </is>
      </c>
      <c r="L114" s="17" t="inlineStr">
        <is>
          <t>ADMIN</t>
        </is>
      </c>
      <c r="M114" s="17" t="inlineStr">
        <is>
          <t>PGDBM</t>
        </is>
      </c>
      <c r="N114" s="17" t="inlineStr">
        <is>
          <t>Average</t>
        </is>
      </c>
      <c r="O114" s="17" t="inlineStr">
        <is>
          <t>Male</t>
        </is>
      </c>
      <c r="P114" s="19" t="inlineStr"/>
      <c r="Q114" s="17">
        <f>IF(N114="Very Poor","Terminate","")</f>
        <v/>
      </c>
      <c r="R114" s="20">
        <f>IF(N114="Very Good",P114*5%,0)</f>
        <v/>
      </c>
      <c r="S114" s="17">
        <f>IF(P114&lt;40000,"Low",IF(AND(P114&gt;=41000,P114&lt;=80000),"Mid",IF(P114&gt;80000,"High","")))</f>
        <v/>
      </c>
      <c r="T114" s="17">
        <f>IF(AND(L114="HR",I114="MUMBAI"),"Yes","No")</f>
        <v/>
      </c>
      <c r="U114" s="17">
        <f>IF(OR(L114="HR",L114="FINANCE"),"Yes","No")</f>
        <v/>
      </c>
      <c r="V114" s="21">
        <f>IF(N114="Very Good",15%,IF(N114="Good",12%,IF(N114="Average",10%,"Not applicable")))</f>
        <v/>
      </c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</row>
    <row r="115" ht="18.75" customHeight="1" s="23">
      <c r="A115" s="17" t="inlineStr">
        <is>
          <t>EMP-95531</t>
        </is>
      </c>
      <c r="B115" s="17" t="inlineStr">
        <is>
          <t>SHUBHAM</t>
        </is>
      </c>
      <c r="C115" s="17" t="inlineStr">
        <is>
          <t>SANTOSH</t>
        </is>
      </c>
      <c r="D115" s="17" t="inlineStr">
        <is>
          <t>DUDHEDIA</t>
        </is>
      </c>
      <c r="E115" s="18" t="n">
        <v>35405</v>
      </c>
      <c r="F115" s="18" t="n">
        <v>40364</v>
      </c>
      <c r="G115" s="17" t="n">
        <v>5</v>
      </c>
      <c r="H115" s="17" t="inlineStr">
        <is>
          <t>Loc-1004</t>
        </is>
      </c>
      <c r="I115" s="17" t="inlineStr">
        <is>
          <t>MUMBAI</t>
        </is>
      </c>
      <c r="J115" s="17" t="inlineStr">
        <is>
          <t>92191269xx</t>
        </is>
      </c>
      <c r="K115" s="17" t="inlineStr">
        <is>
          <t>Dept-101</t>
        </is>
      </c>
      <c r="L115" s="17" t="inlineStr">
        <is>
          <t>PRODUCTION</t>
        </is>
      </c>
      <c r="M115" s="17" t="inlineStr">
        <is>
          <t>MBA</t>
        </is>
      </c>
      <c r="N115" s="17" t="inlineStr">
        <is>
          <t>Very Good</t>
        </is>
      </c>
      <c r="O115" s="17" t="inlineStr">
        <is>
          <t>Male</t>
        </is>
      </c>
      <c r="P115" s="19" t="n">
        <v>107865</v>
      </c>
      <c r="Q115" s="17">
        <f>IF(N115="Very Poor","Terminate","")</f>
        <v/>
      </c>
      <c r="R115" s="20">
        <f>IF(N115="Very Good",P115*5%,0)</f>
        <v/>
      </c>
      <c r="S115" s="17">
        <f>IF(P115&lt;40000,"Low",IF(AND(P115&gt;=41000,P115&lt;=80000),"Mid",IF(P115&gt;80000,"High","")))</f>
        <v/>
      </c>
      <c r="T115" s="17">
        <f>IF(AND(L115="HR",I115="MUMBAI"),"Yes","No")</f>
        <v/>
      </c>
      <c r="U115" s="17">
        <f>IF(OR(L115="HR",L115="FINANCE"),"Yes","No")</f>
        <v/>
      </c>
      <c r="V115" s="21">
        <f>IF(N115="Very Good",15%,IF(N115="Good",12%,IF(N115="Average",10%,"Not applicable")))</f>
        <v/>
      </c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</row>
    <row r="116" ht="18.75" customHeight="1" s="23">
      <c r="A116" s="17" t="inlineStr">
        <is>
          <t>EMP-95586</t>
        </is>
      </c>
      <c r="B116" s="17" t="inlineStr">
        <is>
          <t>SHUBHAM</t>
        </is>
      </c>
      <c r="C116" s="17" t="inlineStr">
        <is>
          <t>SETHUNATH</t>
        </is>
      </c>
      <c r="D116" s="17" t="inlineStr">
        <is>
          <t>DOSHI</t>
        </is>
      </c>
      <c r="E116" s="18" t="n">
        <v>35436</v>
      </c>
      <c r="F116" s="18" t="n">
        <v>40334</v>
      </c>
      <c r="G116" s="17" t="n">
        <v>6</v>
      </c>
      <c r="H116" s="17" t="inlineStr">
        <is>
          <t>Loc-1006</t>
        </is>
      </c>
      <c r="I116" s="17" t="inlineStr">
        <is>
          <t>PUNE</t>
        </is>
      </c>
      <c r="J116" s="17" t="inlineStr">
        <is>
          <t>91091168xx</t>
        </is>
      </c>
      <c r="K116" s="17" t="inlineStr">
        <is>
          <t>Dept-102</t>
        </is>
      </c>
      <c r="L116" s="17" t="inlineStr">
        <is>
          <t>HR</t>
        </is>
      </c>
      <c r="M116" s="17" t="inlineStr">
        <is>
          <t>M S</t>
        </is>
      </c>
      <c r="N116" s="17" t="inlineStr">
        <is>
          <t>Average</t>
        </is>
      </c>
      <c r="O116" s="17" t="inlineStr">
        <is>
          <t>Male</t>
        </is>
      </c>
      <c r="P116" s="19" t="n">
        <v>37130.04</v>
      </c>
      <c r="Q116" s="17">
        <f>IF(N116="Very Poor","Terminate","")</f>
        <v/>
      </c>
      <c r="R116" s="20">
        <f>IF(N116="Very Good",P116*5%,0)</f>
        <v/>
      </c>
      <c r="S116" s="17">
        <f>IF(P116&lt;40000,"Low",IF(AND(P116&gt;=41000,P116&lt;=80000),"Mid",IF(P116&gt;80000,"High","")))</f>
        <v/>
      </c>
      <c r="T116" s="17">
        <f>IF(AND(L116="HR",I116="MUMBAI"),"Yes","No")</f>
        <v/>
      </c>
      <c r="U116" s="17">
        <f>IF(OR(L116="HR",L116="FINANCE"),"Yes","No")</f>
        <v/>
      </c>
      <c r="V116" s="21">
        <f>IF(N116="Very Good",15%,IF(N116="Good",12%,IF(N116="Average",10%,"Not applicable")))</f>
        <v/>
      </c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</row>
    <row r="117" ht="18.75" customHeight="1" s="23">
      <c r="A117" s="17" t="inlineStr">
        <is>
          <t>EMP-95567</t>
        </is>
      </c>
      <c r="B117" s="17" t="inlineStr">
        <is>
          <t>SHIVAM</t>
        </is>
      </c>
      <c r="C117" s="17" t="inlineStr">
        <is>
          <t>SHARAD</t>
        </is>
      </c>
      <c r="D117" s="17" t="inlineStr">
        <is>
          <t>DHAGEKAR</t>
        </is>
      </c>
      <c r="E117" s="18" t="n">
        <v>35467</v>
      </c>
      <c r="F117" s="18" t="n">
        <v>40303</v>
      </c>
      <c r="G117" s="17" t="n">
        <v>7</v>
      </c>
      <c r="H117" s="17" t="inlineStr">
        <is>
          <t>Loc-1005</t>
        </is>
      </c>
      <c r="I117" s="17" t="inlineStr">
        <is>
          <t>CHENNAI</t>
        </is>
      </c>
      <c r="J117" s="17" t="inlineStr">
        <is>
          <t>89991068xx</t>
        </is>
      </c>
      <c r="K117" s="17" t="inlineStr">
        <is>
          <t>Dept-105</t>
        </is>
      </c>
      <c r="L117" s="17" t="inlineStr">
        <is>
          <t>ADMIN</t>
        </is>
      </c>
      <c r="M117" s="17" t="inlineStr">
        <is>
          <t>MBA</t>
        </is>
      </c>
      <c r="N117" s="17" t="inlineStr">
        <is>
          <t>Not Rated</t>
        </is>
      </c>
      <c r="O117" s="17" t="inlineStr">
        <is>
          <t>Male</t>
        </is>
      </c>
      <c r="P117" s="19" t="n">
        <v>150091.47</v>
      </c>
      <c r="Q117" s="17">
        <f>IF(N117="Very Poor","Terminate","")</f>
        <v/>
      </c>
      <c r="R117" s="20">
        <f>IF(N117="Very Good",P117*5%,0)</f>
        <v/>
      </c>
      <c r="S117" s="17">
        <f>IF(P117&lt;40000,"Low",IF(AND(P117&gt;=41000,P117&lt;=80000),"Mid",IF(P117&gt;80000,"High","")))</f>
        <v/>
      </c>
      <c r="T117" s="17">
        <f>IF(AND(L117="HR",I117="MUMBAI"),"Yes","No")</f>
        <v/>
      </c>
      <c r="U117" s="17">
        <f>IF(OR(L117="HR",L117="FINANCE"),"Yes","No")</f>
        <v/>
      </c>
      <c r="V117" s="21">
        <f>IF(N117="Very Good",15%,IF(N117="Good",12%,IF(N117="Average",10%,"Not applicable")))</f>
        <v/>
      </c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</row>
    <row r="118" ht="18.75" customHeight="1" s="23">
      <c r="A118" s="17" t="inlineStr">
        <is>
          <t>EMP-95566</t>
        </is>
      </c>
      <c r="B118" s="17" t="inlineStr">
        <is>
          <t>SHALINI</t>
        </is>
      </c>
      <c r="C118" s="17" t="inlineStr">
        <is>
          <t>SHASHIKANT</t>
        </is>
      </c>
      <c r="D118" s="17" t="inlineStr">
        <is>
          <t>DESHMUKH</t>
        </is>
      </c>
      <c r="E118" s="18" t="n">
        <v>35495</v>
      </c>
      <c r="F118" s="18" t="n">
        <v>41248</v>
      </c>
      <c r="G118" s="17" t="n">
        <v>8</v>
      </c>
      <c r="H118" s="17" t="inlineStr">
        <is>
          <t>Loc-1005</t>
        </is>
      </c>
      <c r="I118" s="17" t="inlineStr">
        <is>
          <t>CHENNAI</t>
        </is>
      </c>
      <c r="J118" s="17" t="inlineStr">
        <is>
          <t>88890968xx</t>
        </is>
      </c>
      <c r="K118" s="17" t="inlineStr">
        <is>
          <t>Dept-104</t>
        </is>
      </c>
      <c r="L118" s="17" t="inlineStr">
        <is>
          <t>MARKETING</t>
        </is>
      </c>
      <c r="M118" s="17" t="inlineStr">
        <is>
          <t>MCOM</t>
        </is>
      </c>
      <c r="N118" s="17" t="inlineStr">
        <is>
          <t>Very Good</t>
        </is>
      </c>
      <c r="O118" s="17" t="inlineStr">
        <is>
          <t>Female</t>
        </is>
      </c>
      <c r="P118" s="19" t="n">
        <v>132369.48</v>
      </c>
      <c r="Q118" s="17">
        <f>IF(N118="Very Poor","Terminate","")</f>
        <v/>
      </c>
      <c r="R118" s="20">
        <f>IF(N118="Very Good",P118*5%,0)</f>
        <v/>
      </c>
      <c r="S118" s="17">
        <f>IF(P118&lt;40000,"Low",IF(AND(P118&gt;=41000,P118&lt;=80000),"Mid",IF(P118&gt;80000,"High","")))</f>
        <v/>
      </c>
      <c r="T118" s="17">
        <f>IF(AND(L118="HR",I118="MUMBAI"),"Yes","No")</f>
        <v/>
      </c>
      <c r="U118" s="17">
        <f>IF(OR(L118="HR",L118="FINANCE"),"Yes","No")</f>
        <v/>
      </c>
      <c r="V118" s="21">
        <f>IF(N118="Very Good",15%,IF(N118="Good",12%,IF(N118="Average",10%,"Not applicable")))</f>
        <v/>
      </c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</row>
    <row r="119" ht="18.75" customHeight="1" s="23">
      <c r="A119" s="17" t="inlineStr">
        <is>
          <t>EMP-95565</t>
        </is>
      </c>
      <c r="B119" s="17" t="inlineStr">
        <is>
          <t>SAYALI</t>
        </is>
      </c>
      <c r="C119" s="17" t="inlineStr">
        <is>
          <t>SHATILAL</t>
        </is>
      </c>
      <c r="D119" s="17" t="inlineStr">
        <is>
          <t>DESHMUKH</t>
        </is>
      </c>
      <c r="E119" s="18" t="n">
        <v>35526</v>
      </c>
      <c r="F119" s="18" t="n">
        <v>41218</v>
      </c>
      <c r="G119" s="17" t="n">
        <v>6</v>
      </c>
      <c r="H119" s="17" t="inlineStr">
        <is>
          <t>Loc-1005</t>
        </is>
      </c>
      <c r="I119" s="17" t="inlineStr">
        <is>
          <t>CHENNAI</t>
        </is>
      </c>
      <c r="J119" s="17" t="inlineStr">
        <is>
          <t>87790868xx</t>
        </is>
      </c>
      <c r="K119" s="17" t="inlineStr">
        <is>
          <t>Dept-103</t>
        </is>
      </c>
      <c r="L119" s="17" t="inlineStr">
        <is>
          <t>FINANCE</t>
        </is>
      </c>
      <c r="M119" s="17" t="inlineStr">
        <is>
          <t>MBA</t>
        </is>
      </c>
      <c r="N119" s="17" t="inlineStr">
        <is>
          <t>Very Poor</t>
        </is>
      </c>
      <c r="O119" s="17" t="inlineStr">
        <is>
          <t>Female</t>
        </is>
      </c>
      <c r="P119" s="19" t="n">
        <v>122568.3</v>
      </c>
      <c r="Q119" s="17">
        <f>IF(N119="Very Poor","Terminate","")</f>
        <v/>
      </c>
      <c r="R119" s="20">
        <f>IF(N119="Very Good",P119*5%,0)</f>
        <v/>
      </c>
      <c r="S119" s="17">
        <f>IF(P119&lt;40000,"Low",IF(AND(P119&gt;=41000,P119&lt;=80000),"Mid",IF(P119&gt;80000,"High","")))</f>
        <v/>
      </c>
      <c r="T119" s="17">
        <f>IF(AND(L119="HR",I119="MUMBAI"),"Yes","No")</f>
        <v/>
      </c>
      <c r="U119" s="17">
        <f>IF(OR(L119="HR",L119="FINANCE"),"Yes","No")</f>
        <v/>
      </c>
      <c r="V119" s="21">
        <f>IF(N119="Very Good",15%,IF(N119="Good",12%,IF(N119="Average",10%,"Not applicable")))</f>
        <v/>
      </c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</row>
    <row r="120" ht="18.75" customHeight="1" s="23">
      <c r="A120" s="17" t="inlineStr">
        <is>
          <t>EMP-95473</t>
        </is>
      </c>
      <c r="B120" s="17" t="inlineStr">
        <is>
          <t>RUGWETA</t>
        </is>
      </c>
      <c r="C120" s="17" t="inlineStr">
        <is>
          <t>SHEKHAR</t>
        </is>
      </c>
      <c r="D120" s="17" t="inlineStr">
        <is>
          <t>DAYMA</t>
        </is>
      </c>
      <c r="E120" s="18" t="n">
        <v>35587</v>
      </c>
      <c r="F120" s="18" t="n">
        <v>41157</v>
      </c>
      <c r="G120" s="17" t="n">
        <v>8</v>
      </c>
      <c r="H120" s="17" t="inlineStr">
        <is>
          <t>Loc-1002</t>
        </is>
      </c>
      <c r="I120" s="17" t="inlineStr">
        <is>
          <t>BANGALORE</t>
        </is>
      </c>
      <c r="J120" s="17" t="inlineStr">
        <is>
          <t>85590667xx</t>
        </is>
      </c>
      <c r="K120" s="17" t="inlineStr">
        <is>
          <t>Dept-105</t>
        </is>
      </c>
      <c r="L120" s="17" t="inlineStr">
        <is>
          <t>ADMIN</t>
        </is>
      </c>
      <c r="M120" s="17" t="inlineStr">
        <is>
          <t>MBA</t>
        </is>
      </c>
      <c r="N120" s="17" t="inlineStr">
        <is>
          <t>Average</t>
        </is>
      </c>
      <c r="O120" s="17" t="inlineStr">
        <is>
          <t>Female</t>
        </is>
      </c>
      <c r="P120" s="19" t="n">
        <v>58692.33</v>
      </c>
      <c r="Q120" s="17">
        <f>IF(N120="Very Poor","Terminate","")</f>
        <v/>
      </c>
      <c r="R120" s="20">
        <f>IF(N120="Very Good",P120*5%,0)</f>
        <v/>
      </c>
      <c r="S120" s="17">
        <f>IF(P120&lt;40000,"Low",IF(AND(P120&gt;=41000,P120&lt;=80000),"Mid",IF(P120&gt;80000,"High","")))</f>
        <v/>
      </c>
      <c r="T120" s="17">
        <f>IF(AND(L120="HR",I120="MUMBAI"),"Yes","No")</f>
        <v/>
      </c>
      <c r="U120" s="17">
        <f>IF(OR(L120="HR",L120="FINANCE"),"Yes","No")</f>
        <v/>
      </c>
      <c r="V120" s="21">
        <f>IF(N120="Very Good",15%,IF(N120="Good",12%,IF(N120="Average",10%,"Not applicable")))</f>
        <v/>
      </c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</row>
    <row r="121" ht="18.75" customHeight="1" s="23">
      <c r="A121" s="17" t="inlineStr">
        <is>
          <t>EMP-95474</t>
        </is>
      </c>
      <c r="B121" s="17" t="inlineStr">
        <is>
          <t>SAYALI</t>
        </is>
      </c>
      <c r="C121" s="17" t="inlineStr">
        <is>
          <t>SHEKHAR</t>
        </is>
      </c>
      <c r="D121" s="17" t="inlineStr">
        <is>
          <t>DESHMUKH</t>
        </is>
      </c>
      <c r="E121" s="18" t="n">
        <v>35556</v>
      </c>
      <c r="F121" s="18" t="n">
        <v>41187</v>
      </c>
      <c r="G121" s="17" t="n">
        <v>7</v>
      </c>
      <c r="H121" s="17" t="inlineStr">
        <is>
          <t>Loc-1002</t>
        </is>
      </c>
      <c r="I121" s="17" t="inlineStr">
        <is>
          <t>BANGALORE</t>
        </is>
      </c>
      <c r="J121" s="17" t="inlineStr">
        <is>
          <t>86690768xx</t>
        </is>
      </c>
      <c r="K121" s="17" t="inlineStr">
        <is>
          <t>Dept-102</t>
        </is>
      </c>
      <c r="L121" s="17" t="inlineStr">
        <is>
          <t>HR</t>
        </is>
      </c>
      <c r="M121" s="17" t="inlineStr">
        <is>
          <t>M.E</t>
        </is>
      </c>
      <c r="N121" s="17" t="inlineStr">
        <is>
          <t>Not Rated</t>
        </is>
      </c>
      <c r="O121" s="17" t="inlineStr">
        <is>
          <t>Female</t>
        </is>
      </c>
      <c r="P121" s="19" t="n">
        <v>32305.95</v>
      </c>
      <c r="Q121" s="17">
        <f>IF(N121="Very Poor","Terminate","")</f>
        <v/>
      </c>
      <c r="R121" s="20">
        <f>IF(N121="Very Good",P121*5%,0)</f>
        <v/>
      </c>
      <c r="S121" s="17">
        <f>IF(P121&lt;40000,"Low",IF(AND(P121&gt;=41000,P121&lt;=80000),"Mid",IF(P121&gt;80000,"High","")))</f>
        <v/>
      </c>
      <c r="T121" s="17">
        <f>IF(AND(L121="HR",I121="MUMBAI"),"Yes","No")</f>
        <v/>
      </c>
      <c r="U121" s="17">
        <f>IF(OR(L121="HR",L121="FINANCE"),"Yes","No")</f>
        <v/>
      </c>
      <c r="V121" s="21">
        <f>IF(N121="Very Good",15%,IF(N121="Good",12%,IF(N121="Average",10%,"Not applicable")))</f>
        <v/>
      </c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</row>
    <row r="122" ht="18.75" customHeight="1" s="23">
      <c r="A122" s="17" t="inlineStr">
        <is>
          <t>EMP-95528</t>
        </is>
      </c>
      <c r="B122" s="17" t="inlineStr">
        <is>
          <t>ROHIT</t>
        </is>
      </c>
      <c r="C122" s="17" t="inlineStr">
        <is>
          <t>SHITAL</t>
        </is>
      </c>
      <c r="D122" s="17" t="inlineStr">
        <is>
          <t>DATAR</t>
        </is>
      </c>
      <c r="E122" s="18" t="n">
        <v>35617</v>
      </c>
      <c r="F122" s="18" t="n">
        <v>41126</v>
      </c>
      <c r="G122" s="17" t="n">
        <v>5</v>
      </c>
      <c r="H122" s="17" t="inlineStr">
        <is>
          <t>Loc-1004</t>
        </is>
      </c>
      <c r="I122" s="17" t="inlineStr">
        <is>
          <t>MUMBAI</t>
        </is>
      </c>
      <c r="J122" s="17" t="inlineStr">
        <is>
          <t>84490567xx</t>
        </is>
      </c>
      <c r="K122" s="17" t="inlineStr">
        <is>
          <t>Dept-103</t>
        </is>
      </c>
      <c r="L122" s="17" t="inlineStr">
        <is>
          <t>FINANCE</t>
        </is>
      </c>
      <c r="M122" s="17" t="inlineStr">
        <is>
          <t>BBA</t>
        </is>
      </c>
      <c r="N122" s="17" t="inlineStr">
        <is>
          <t>Not Rated</t>
        </is>
      </c>
      <c r="O122" s="17" t="inlineStr">
        <is>
          <t>Male</t>
        </is>
      </c>
      <c r="P122" s="19" t="n">
        <v>91016.64</v>
      </c>
      <c r="Q122" s="17">
        <f>IF(N122="Very Poor","Terminate","")</f>
        <v/>
      </c>
      <c r="R122" s="20">
        <f>IF(N122="Very Good",P122*5%,0)</f>
        <v/>
      </c>
      <c r="S122" s="17">
        <f>IF(P122&lt;40000,"Low",IF(AND(P122&gt;=41000,P122&lt;=80000),"Mid",IF(P122&gt;80000,"High","")))</f>
        <v/>
      </c>
      <c r="T122" s="17">
        <f>IF(AND(L122="HR",I122="MUMBAI"),"Yes","No")</f>
        <v/>
      </c>
      <c r="U122" s="17">
        <f>IF(OR(L122="HR",L122="FINANCE"),"Yes","No")</f>
        <v/>
      </c>
      <c r="V122" s="21">
        <f>IF(N122="Very Good",15%,IF(N122="Good",12%,IF(N122="Average",10%,"Not applicable")))</f>
        <v/>
      </c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</row>
    <row r="123" ht="18.75" customHeight="1" s="23">
      <c r="A123" s="17" t="inlineStr">
        <is>
          <t>EMP-95454</t>
        </is>
      </c>
      <c r="B123" s="17" t="inlineStr">
        <is>
          <t>PRANAV</t>
        </is>
      </c>
      <c r="C123" s="17" t="inlineStr">
        <is>
          <t>SHIVRAJ</t>
        </is>
      </c>
      <c r="D123" s="17" t="inlineStr">
        <is>
          <t>DARDA</t>
        </is>
      </c>
      <c r="E123" s="18" t="n">
        <v>35648</v>
      </c>
      <c r="F123" s="18" t="n">
        <v>41095</v>
      </c>
      <c r="G123" s="17" t="n">
        <v>6</v>
      </c>
      <c r="H123" s="17" t="inlineStr">
        <is>
          <t>Loc-1001</t>
        </is>
      </c>
      <c r="I123" s="17" t="inlineStr">
        <is>
          <t>DELHI</t>
        </is>
      </c>
      <c r="J123" s="17" t="inlineStr">
        <is>
          <t>83390467xx</t>
        </is>
      </c>
      <c r="K123" s="17" t="inlineStr">
        <is>
          <t>Dept-101</t>
        </is>
      </c>
      <c r="L123" s="17" t="inlineStr">
        <is>
          <t>PRODUCTION</t>
        </is>
      </c>
      <c r="M123" s="17" t="inlineStr">
        <is>
          <t>CS</t>
        </is>
      </c>
      <c r="N123" s="17" t="inlineStr">
        <is>
          <t>Very Poor</t>
        </is>
      </c>
      <c r="O123" s="17" t="inlineStr">
        <is>
          <t>Male</t>
        </is>
      </c>
      <c r="P123" s="19" t="n">
        <v>148439.07</v>
      </c>
      <c r="Q123" s="17">
        <f>IF(N123="Very Poor","Terminate","")</f>
        <v/>
      </c>
      <c r="R123" s="20">
        <f>IF(N123="Very Good",P123*5%,0)</f>
        <v/>
      </c>
      <c r="S123" s="17">
        <f>IF(P123&lt;40000,"Low",IF(AND(P123&gt;=41000,P123&lt;=80000),"Mid",IF(P123&gt;80000,"High","")))</f>
        <v/>
      </c>
      <c r="T123" s="17">
        <f>IF(AND(L123="HR",I123="MUMBAI"),"Yes","No")</f>
        <v/>
      </c>
      <c r="U123" s="17">
        <f>IF(OR(L123="HR",L123="FINANCE"),"Yes","No")</f>
        <v/>
      </c>
      <c r="V123" s="21">
        <f>IF(N123="Very Good",15%,IF(N123="Good",12%,IF(N123="Average",10%,"Not applicable")))</f>
        <v/>
      </c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</row>
    <row r="124" ht="18.75" customHeight="1" s="23">
      <c r="A124" s="17" t="inlineStr">
        <is>
          <t>EMP-95494</t>
        </is>
      </c>
      <c r="B124" s="17" t="inlineStr">
        <is>
          <t>PRAJAKTA</t>
        </is>
      </c>
      <c r="C124" s="17" t="inlineStr">
        <is>
          <t>SRIVASTAVA</t>
        </is>
      </c>
      <c r="D124" s="17" t="inlineStr">
        <is>
          <t>DABHIYA</t>
        </is>
      </c>
      <c r="E124" s="18" t="n">
        <v>35679</v>
      </c>
      <c r="F124" s="18" t="n">
        <v>43621</v>
      </c>
      <c r="G124" s="17" t="n">
        <v>7</v>
      </c>
      <c r="H124" s="17" t="inlineStr">
        <is>
          <t>Loc-1003</t>
        </is>
      </c>
      <c r="I124" s="17" t="inlineStr">
        <is>
          <t>NAGPUR</t>
        </is>
      </c>
      <c r="J124" s="17" t="inlineStr">
        <is>
          <t>82290367xx</t>
        </is>
      </c>
      <c r="K124" s="17" t="inlineStr">
        <is>
          <t>Dept-104</t>
        </is>
      </c>
      <c r="L124" s="17" t="inlineStr">
        <is>
          <t>MARKETING</t>
        </is>
      </c>
      <c r="M124" s="17" t="inlineStr">
        <is>
          <t>CA</t>
        </is>
      </c>
      <c r="N124" s="17" t="inlineStr">
        <is>
          <t>Not Rated</t>
        </is>
      </c>
      <c r="O124" s="17" t="inlineStr">
        <is>
          <t>Female</t>
        </is>
      </c>
      <c r="P124" s="19" t="n">
        <v>102918.51</v>
      </c>
      <c r="Q124" s="17">
        <f>IF(N124="Very Poor","Terminate","")</f>
        <v/>
      </c>
      <c r="R124" s="20">
        <f>IF(N124="Very Good",P124*5%,0)</f>
        <v/>
      </c>
      <c r="S124" s="17">
        <f>IF(P124&lt;40000,"Low",IF(AND(P124&gt;=41000,P124&lt;=80000),"Mid",IF(P124&gt;80000,"High","")))</f>
        <v/>
      </c>
      <c r="T124" s="17">
        <f>IF(AND(L124="HR",I124="MUMBAI"),"Yes","No")</f>
        <v/>
      </c>
      <c r="U124" s="17">
        <f>IF(OR(L124="HR",L124="FINANCE"),"Yes","No")</f>
        <v/>
      </c>
      <c r="V124" s="21">
        <f>IF(N124="Very Good",15%,IF(N124="Good",12%,IF(N124="Average",10%,"Not applicable")))</f>
        <v/>
      </c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</row>
    <row r="125" ht="18.75" customHeight="1" s="23">
      <c r="A125" s="17" t="inlineStr">
        <is>
          <t>EMP-95563</t>
        </is>
      </c>
      <c r="B125" s="17" t="inlineStr">
        <is>
          <t>POOJA</t>
        </is>
      </c>
      <c r="C125" s="17" t="inlineStr">
        <is>
          <t>SUBHASH</t>
        </is>
      </c>
      <c r="D125" s="17" t="inlineStr">
        <is>
          <t>DABHADE</t>
        </is>
      </c>
      <c r="E125" s="18" t="n">
        <v>35709</v>
      </c>
      <c r="F125" s="18" t="n">
        <v>41034</v>
      </c>
      <c r="G125" s="17" t="n">
        <v>8</v>
      </c>
      <c r="H125" s="17" t="inlineStr">
        <is>
          <t>Loc-1005</t>
        </is>
      </c>
      <c r="I125" s="17" t="inlineStr">
        <is>
          <t>CHENNAI</t>
        </is>
      </c>
      <c r="J125" s="17" t="inlineStr">
        <is>
          <t>81190267xx</t>
        </is>
      </c>
      <c r="K125" s="17" t="inlineStr">
        <is>
          <t>Dept-102</t>
        </is>
      </c>
      <c r="L125" s="17" t="inlineStr">
        <is>
          <t>HR</t>
        </is>
      </c>
      <c r="M125" s="17" t="inlineStr">
        <is>
          <t>M S</t>
        </is>
      </c>
      <c r="N125" s="17" t="inlineStr">
        <is>
          <t>Average</t>
        </is>
      </c>
      <c r="O125" s="17" t="inlineStr">
        <is>
          <t>Female</t>
        </is>
      </c>
      <c r="P125" s="19" t="n">
        <v>22373.19</v>
      </c>
      <c r="Q125" s="17">
        <f>IF(N125="Very Poor","Terminate","")</f>
        <v/>
      </c>
      <c r="R125" s="20">
        <f>IF(N125="Very Good",P125*5%,0)</f>
        <v/>
      </c>
      <c r="S125" s="17">
        <f>IF(P125&lt;40000,"Low",IF(AND(P125&gt;=41000,P125&lt;=80000),"Mid",IF(P125&gt;80000,"High","")))</f>
        <v/>
      </c>
      <c r="T125" s="17">
        <f>IF(AND(L125="HR",I125="MUMBAI"),"Yes","No")</f>
        <v/>
      </c>
      <c r="U125" s="17">
        <f>IF(OR(L125="HR",L125="FINANCE"),"Yes","No")</f>
        <v/>
      </c>
      <c r="V125" s="21">
        <f>IF(N125="Very Good",15%,IF(N125="Good",12%,IF(N125="Average",10%,"Not applicable")))</f>
        <v/>
      </c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</row>
    <row r="126" ht="18.75" customHeight="1" s="23">
      <c r="A126" s="17" t="inlineStr">
        <is>
          <t>EMP-95562</t>
        </is>
      </c>
      <c r="B126" s="17" t="inlineStr">
        <is>
          <t>NITISH</t>
        </is>
      </c>
      <c r="C126" s="17" t="inlineStr">
        <is>
          <t>SUHAS</t>
        </is>
      </c>
      <c r="D126" s="17" t="inlineStr">
        <is>
          <t>CHAWARE</t>
        </is>
      </c>
      <c r="E126" s="18" t="n">
        <v>35740</v>
      </c>
      <c r="F126" s="18" t="n">
        <v>41004</v>
      </c>
      <c r="G126" s="17" t="n">
        <v>6</v>
      </c>
      <c r="H126" s="17" t="inlineStr">
        <is>
          <t>Loc-1005</t>
        </is>
      </c>
      <c r="I126" s="17" t="inlineStr">
        <is>
          <t>CHENNAI</t>
        </is>
      </c>
      <c r="J126" s="17" t="inlineStr">
        <is>
          <t>80090166xx</t>
        </is>
      </c>
      <c r="K126" s="17" t="inlineStr">
        <is>
          <t>Dept-101</t>
        </is>
      </c>
      <c r="L126" s="17" t="inlineStr">
        <is>
          <t>PRODUCTION</t>
        </is>
      </c>
      <c r="M126" s="17" t="inlineStr">
        <is>
          <t>M.E</t>
        </is>
      </c>
      <c r="N126" s="17" t="inlineStr">
        <is>
          <t>Average</t>
        </is>
      </c>
      <c r="O126" s="17" t="inlineStr">
        <is>
          <t>Male</t>
        </is>
      </c>
      <c r="P126" s="19" t="n">
        <v>55508.39999999999</v>
      </c>
      <c r="Q126" s="17">
        <f>IF(N126="Very Poor","Terminate","")</f>
        <v/>
      </c>
      <c r="R126" s="20">
        <f>IF(N126="Very Good",P126*5%,0)</f>
        <v/>
      </c>
      <c r="S126" s="17">
        <f>IF(P126&lt;40000,"Low",IF(AND(P126&gt;=41000,P126&lt;=80000),"Mid",IF(P126&gt;80000,"High","")))</f>
        <v/>
      </c>
      <c r="T126" s="17">
        <f>IF(AND(L126="HR",I126="MUMBAI"),"Yes","No")</f>
        <v/>
      </c>
      <c r="U126" s="17">
        <f>IF(OR(L126="HR",L126="FINANCE"),"Yes","No")</f>
        <v/>
      </c>
      <c r="V126" s="21">
        <f>IF(N126="Very Good",15%,IF(N126="Good",12%,IF(N126="Average",10%,"Not applicable")))</f>
        <v/>
      </c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</row>
    <row r="127" ht="18.75" customHeight="1" s="23">
      <c r="A127" s="17" t="inlineStr">
        <is>
          <t>EMP-95477</t>
        </is>
      </c>
      <c r="B127" s="17" t="inlineStr">
        <is>
          <t>NATASHA</t>
        </is>
      </c>
      <c r="C127" s="17" t="inlineStr">
        <is>
          <t>SUNIL</t>
        </is>
      </c>
      <c r="D127" s="17" t="inlineStr">
        <is>
          <t>CHAREGAONKAR</t>
        </is>
      </c>
      <c r="E127" s="18" t="n">
        <v>35832</v>
      </c>
      <c r="F127" s="18" t="n">
        <v>40913</v>
      </c>
      <c r="G127" s="17" t="n">
        <v>5</v>
      </c>
      <c r="H127" s="17" t="inlineStr">
        <is>
          <t>Loc-1002</t>
        </is>
      </c>
      <c r="I127" s="17" t="inlineStr">
        <is>
          <t>BANGALORE</t>
        </is>
      </c>
      <c r="J127" s="17" t="inlineStr">
        <is>
          <t>98989090xx</t>
        </is>
      </c>
      <c r="K127" s="17" t="inlineStr">
        <is>
          <t>Dept-104</t>
        </is>
      </c>
      <c r="L127" s="17" t="inlineStr">
        <is>
          <t>MARKETING</t>
        </is>
      </c>
      <c r="M127" s="17" t="inlineStr">
        <is>
          <t>PGDBM</t>
        </is>
      </c>
      <c r="N127" s="17" t="inlineStr">
        <is>
          <t>Poor</t>
        </is>
      </c>
      <c r="O127" s="17" t="inlineStr">
        <is>
          <t>Female</t>
        </is>
      </c>
      <c r="P127" s="19" t="n">
        <v>66253.59</v>
      </c>
      <c r="Q127" s="17">
        <f>IF(N127="Very Poor","Terminate","")</f>
        <v/>
      </c>
      <c r="R127" s="20">
        <f>IF(N127="Very Good",P127*5%,0)</f>
        <v/>
      </c>
      <c r="S127" s="17">
        <f>IF(P127&lt;40000,"Low",IF(AND(P127&gt;=41000,P127&lt;=80000),"Mid",IF(P127&gt;80000,"High","")))</f>
        <v/>
      </c>
      <c r="T127" s="17">
        <f>IF(AND(L127="HR",I127="MUMBAI"),"Yes","No")</f>
        <v/>
      </c>
      <c r="U127" s="17">
        <f>IF(OR(L127="HR",L127="FINANCE"),"Yes","No")</f>
        <v/>
      </c>
      <c r="V127" s="21">
        <f>IF(N127="Very Good",15%,IF(N127="Good",12%,IF(N127="Average",10%,"Not applicable")))</f>
        <v/>
      </c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</row>
    <row r="128" ht="18.75" customHeight="1" s="23">
      <c r="A128" s="17" t="inlineStr">
        <is>
          <t>EMP-95577</t>
        </is>
      </c>
      <c r="B128" s="17" t="inlineStr">
        <is>
          <t>NEHA</t>
        </is>
      </c>
      <c r="C128" s="17" t="inlineStr">
        <is>
          <t>SUNIL</t>
        </is>
      </c>
      <c r="D128" s="17" t="inlineStr">
        <is>
          <t>CHAUDHARI</t>
        </is>
      </c>
      <c r="E128" s="18" t="n">
        <v>35801</v>
      </c>
      <c r="F128" s="18" t="n">
        <v>40944</v>
      </c>
      <c r="G128" s="17" t="n">
        <v>8</v>
      </c>
      <c r="H128" s="17" t="inlineStr">
        <is>
          <t>Loc-1006</t>
        </is>
      </c>
      <c r="I128" s="17" t="inlineStr">
        <is>
          <t>PUNE</t>
        </is>
      </c>
      <c r="J128" s="17" t="inlineStr">
        <is>
          <t>78889966xx</t>
        </is>
      </c>
      <c r="K128" s="17" t="inlineStr">
        <is>
          <t>Dept-102</t>
        </is>
      </c>
      <c r="L128" s="17" t="inlineStr">
        <is>
          <t>HR</t>
        </is>
      </c>
      <c r="M128" s="17" t="inlineStr">
        <is>
          <t>MBA</t>
        </is>
      </c>
      <c r="N128" s="17" t="inlineStr">
        <is>
          <t>Average</t>
        </is>
      </c>
      <c r="O128" s="17" t="inlineStr">
        <is>
          <t>Female</t>
        </is>
      </c>
      <c r="P128" s="19" t="n">
        <v>81022.67999999999</v>
      </c>
      <c r="Q128" s="17">
        <f>IF(N128="Very Poor","Terminate","")</f>
        <v/>
      </c>
      <c r="R128" s="20">
        <f>IF(N128="Very Good",P128*5%,0)</f>
        <v/>
      </c>
      <c r="S128" s="17">
        <f>IF(P128&lt;40000,"Low",IF(AND(P128&gt;=41000,P128&lt;=80000),"Mid",IF(P128&gt;80000,"High","")))</f>
        <v/>
      </c>
      <c r="T128" s="17">
        <f>IF(AND(L128="HR",I128="MUMBAI"),"Yes","No")</f>
        <v/>
      </c>
      <c r="U128" s="17">
        <f>IF(OR(L128="HR",L128="FINANCE"),"Yes","No")</f>
        <v/>
      </c>
      <c r="V128" s="21">
        <f>IF(N128="Very Good",15%,IF(N128="Good",12%,IF(N128="Average",10%,"Not applicable")))</f>
        <v/>
      </c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</row>
    <row r="129" ht="18.75" customHeight="1" s="23">
      <c r="A129" s="17" t="inlineStr">
        <is>
          <t>EMP-95543</t>
        </is>
      </c>
      <c r="B129" s="17" t="inlineStr">
        <is>
          <t>NIKITA</t>
        </is>
      </c>
      <c r="C129" s="17" t="inlineStr">
        <is>
          <t>SUNIL</t>
        </is>
      </c>
      <c r="D129" s="17" t="inlineStr">
        <is>
          <t>CHAUDHARY</t>
        </is>
      </c>
      <c r="E129" s="18" t="n">
        <v>35770</v>
      </c>
      <c r="F129" s="18" t="n">
        <v>40973</v>
      </c>
      <c r="G129" s="17" t="n">
        <v>7</v>
      </c>
      <c r="H129" s="17" t="inlineStr">
        <is>
          <t>Loc-1005</t>
        </is>
      </c>
      <c r="I129" s="17" t="inlineStr">
        <is>
          <t>CHENNAI</t>
        </is>
      </c>
      <c r="J129" s="17" t="inlineStr">
        <is>
          <t>78990066xx</t>
        </is>
      </c>
      <c r="K129" s="17" t="inlineStr">
        <is>
          <t>Dept-105</t>
        </is>
      </c>
      <c r="L129" s="17" t="inlineStr">
        <is>
          <t>ADMIN</t>
        </is>
      </c>
      <c r="M129" s="17" t="inlineStr">
        <is>
          <t>PGDBM</t>
        </is>
      </c>
      <c r="N129" s="17" t="inlineStr">
        <is>
          <t>Poor</t>
        </is>
      </c>
      <c r="O129" s="17" t="inlineStr">
        <is>
          <t>Female</t>
        </is>
      </c>
      <c r="P129" s="19" t="n">
        <v>147721.5</v>
      </c>
      <c r="Q129" s="17">
        <f>IF(N129="Very Poor","Terminate","")</f>
        <v/>
      </c>
      <c r="R129" s="20">
        <f>IF(N129="Very Good",P129*5%,0)</f>
        <v/>
      </c>
      <c r="S129" s="17">
        <f>IF(P129&lt;40000,"Low",IF(AND(P129&gt;=41000,P129&lt;=80000),"Mid",IF(P129&gt;80000,"High","")))</f>
        <v/>
      </c>
      <c r="T129" s="17">
        <f>IF(AND(L129="HR",I129="MUMBAI"),"Yes","No")</f>
        <v/>
      </c>
      <c r="U129" s="17">
        <f>IF(OR(L129="HR",L129="FINANCE"),"Yes","No")</f>
        <v/>
      </c>
      <c r="V129" s="21">
        <f>IF(N129="Very Good",15%,IF(N129="Good",12%,IF(N129="Average",10%,"Not applicable")))</f>
        <v/>
      </c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</row>
    <row r="130" ht="18.75" customHeight="1" s="23">
      <c r="A130" s="17" t="inlineStr">
        <is>
          <t>EMP-95530</t>
        </is>
      </c>
      <c r="B130" s="17" t="inlineStr">
        <is>
          <t>KINJAL</t>
        </is>
      </c>
      <c r="C130" s="17" t="inlineStr">
        <is>
          <t>SURESH</t>
        </is>
      </c>
      <c r="D130" s="17" t="inlineStr">
        <is>
          <t>BORA</t>
        </is>
      </c>
      <c r="E130" s="18" t="n">
        <v>35982</v>
      </c>
      <c r="F130" s="18" t="n">
        <v>40760</v>
      </c>
      <c r="G130" s="17" t="n">
        <v>7</v>
      </c>
      <c r="H130" s="17" t="inlineStr">
        <is>
          <t>Loc-1004</t>
        </is>
      </c>
      <c r="I130" s="17" t="inlineStr">
        <is>
          <t>MUMBAI</t>
        </is>
      </c>
      <c r="J130" s="17" t="inlineStr">
        <is>
          <t>90809090xx</t>
        </is>
      </c>
      <c r="K130" s="17" t="inlineStr">
        <is>
          <t>Dept-102</t>
        </is>
      </c>
      <c r="L130" s="17" t="inlineStr">
        <is>
          <t>HR</t>
        </is>
      </c>
      <c r="M130" s="17" t="inlineStr">
        <is>
          <t>CA</t>
        </is>
      </c>
      <c r="N130" s="17" t="inlineStr">
        <is>
          <t>Not Rated</t>
        </is>
      </c>
      <c r="O130" s="17" t="inlineStr">
        <is>
          <t>Female</t>
        </is>
      </c>
      <c r="P130" s="19" t="n">
        <v>45846.45</v>
      </c>
      <c r="Q130" s="17">
        <f>IF(N130="Very Poor","Terminate","")</f>
        <v/>
      </c>
      <c r="R130" s="20">
        <f>IF(N130="Very Good",P130*5%,0)</f>
        <v/>
      </c>
      <c r="S130" s="17">
        <f>IF(P130&lt;40000,"Low",IF(AND(P130&gt;=41000,P130&lt;=80000),"Mid",IF(P130&gt;80000,"High","")))</f>
        <v/>
      </c>
      <c r="T130" s="17">
        <f>IF(AND(L130="HR",I130="MUMBAI"),"Yes","No")</f>
        <v/>
      </c>
      <c r="U130" s="17">
        <f>IF(OR(L130="HR",L130="FINANCE"),"Yes","No")</f>
        <v/>
      </c>
      <c r="V130" s="21">
        <f>IF(N130="Very Good",15%,IF(N130="Good",12%,IF(N130="Average",10%,"Not applicable")))</f>
        <v/>
      </c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</row>
    <row r="131" ht="18.75" customHeight="1" s="23">
      <c r="A131" s="17" t="inlineStr">
        <is>
          <t>EMP-95570</t>
        </is>
      </c>
      <c r="B131" s="17" t="inlineStr">
        <is>
          <t>KUSHAL</t>
        </is>
      </c>
      <c r="C131" s="17" t="inlineStr">
        <is>
          <t>SURESH</t>
        </is>
      </c>
      <c r="D131" s="17" t="inlineStr">
        <is>
          <t>BORGE</t>
        </is>
      </c>
      <c r="E131" s="18" t="n">
        <v>35952</v>
      </c>
      <c r="F131" s="18" t="n">
        <v>40791</v>
      </c>
      <c r="G131" s="17" t="n">
        <v>6</v>
      </c>
      <c r="H131" s="17" t="inlineStr">
        <is>
          <t>Loc-1005</t>
        </is>
      </c>
      <c r="I131" s="17" t="inlineStr">
        <is>
          <t>CHENNAI</t>
        </is>
      </c>
      <c r="J131" s="17" t="inlineStr">
        <is>
          <t>94556655xx</t>
        </is>
      </c>
      <c r="K131" s="17" t="inlineStr">
        <is>
          <t>Dept-103</t>
        </is>
      </c>
      <c r="L131" s="17" t="inlineStr">
        <is>
          <t>FINANCE</t>
        </is>
      </c>
      <c r="M131" s="17" t="inlineStr">
        <is>
          <t>ICWA</t>
        </is>
      </c>
      <c r="N131" s="17" t="inlineStr">
        <is>
          <t>Very Poor</t>
        </is>
      </c>
      <c r="O131" s="17" t="inlineStr">
        <is>
          <t>Male</t>
        </is>
      </c>
      <c r="P131" s="19" t="n">
        <v>128578.14</v>
      </c>
      <c r="Q131" s="17">
        <f>IF(N131="Very Poor","Terminate","")</f>
        <v/>
      </c>
      <c r="R131" s="20">
        <f>IF(N131="Very Good",P131*5%,0)</f>
        <v/>
      </c>
      <c r="S131" s="17">
        <f>IF(P131&lt;40000,"Low",IF(AND(P131&gt;=41000,P131&lt;=80000),"Mid",IF(P131&gt;80000,"High","")))</f>
        <v/>
      </c>
      <c r="T131" s="17">
        <f>IF(AND(L131="HR",I131="MUMBAI"),"Yes","No")</f>
        <v/>
      </c>
      <c r="U131" s="17">
        <f>IF(OR(L131="HR",L131="FINANCE"),"Yes","No")</f>
        <v/>
      </c>
      <c r="V131" s="21">
        <f>IF(N131="Very Good",15%,IF(N131="Good",12%,IF(N131="Average",10%,"Not applicable")))</f>
        <v/>
      </c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</row>
    <row r="132" ht="18.75" customHeight="1" s="23">
      <c r="A132" s="17" t="inlineStr">
        <is>
          <t>EMP-95534</t>
        </is>
      </c>
      <c r="B132" s="17" t="inlineStr">
        <is>
          <t>MAYUR</t>
        </is>
      </c>
      <c r="C132" s="17" t="inlineStr">
        <is>
          <t>SURESH</t>
        </is>
      </c>
      <c r="D132" s="17" t="inlineStr">
        <is>
          <t>BOTHRA</t>
        </is>
      </c>
      <c r="E132" s="18" t="n">
        <v>35921</v>
      </c>
      <c r="F132" s="18" t="n">
        <v>40821</v>
      </c>
      <c r="G132" s="17" t="n">
        <v>8</v>
      </c>
      <c r="H132" s="17" t="inlineStr">
        <is>
          <t>Loc-1004</t>
        </is>
      </c>
      <c r="I132" s="17" t="inlineStr">
        <is>
          <t>MUMBAI</t>
        </is>
      </c>
      <c r="J132" s="17" t="inlineStr">
        <is>
          <t>96878685xx</t>
        </is>
      </c>
      <c r="K132" s="17" t="inlineStr">
        <is>
          <t>Dept-101</t>
        </is>
      </c>
      <c r="L132" s="17" t="inlineStr">
        <is>
          <t>PRODUCTION</t>
        </is>
      </c>
      <c r="M132" s="17" t="inlineStr">
        <is>
          <t>BBA</t>
        </is>
      </c>
      <c r="N132" s="17" t="inlineStr">
        <is>
          <t>Not Rated</t>
        </is>
      </c>
      <c r="O132" s="17" t="inlineStr">
        <is>
          <t>Male</t>
        </is>
      </c>
      <c r="P132" s="19" t="n">
        <v>33078.6</v>
      </c>
      <c r="Q132" s="17">
        <f>IF(N132="Very Poor","Terminate","")</f>
        <v/>
      </c>
      <c r="R132" s="20">
        <f>IF(N132="Very Good",P132*5%,0)</f>
        <v/>
      </c>
      <c r="S132" s="17">
        <f>IF(P132&lt;40000,"Low",IF(AND(P132&gt;=41000,P132&lt;=80000),"Mid",IF(P132&gt;80000,"High","")))</f>
        <v/>
      </c>
      <c r="T132" s="17">
        <f>IF(AND(L132="HR",I132="MUMBAI"),"Yes","No")</f>
        <v/>
      </c>
      <c r="U132" s="17">
        <f>IF(OR(L132="HR",L132="FINANCE"),"Yes","No")</f>
        <v/>
      </c>
      <c r="V132" s="21">
        <f>IF(N132="Very Good",15%,IF(N132="Good",12%,IF(N132="Average",10%,"Not applicable")))</f>
        <v/>
      </c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</row>
    <row r="133" ht="18.75" customHeight="1" s="23">
      <c r="A133" s="17" t="inlineStr">
        <is>
          <t>EMP-95461</t>
        </is>
      </c>
      <c r="B133" s="17" t="inlineStr">
        <is>
          <t>MEEHIR</t>
        </is>
      </c>
      <c r="C133" s="17" t="inlineStr">
        <is>
          <t>SURESH</t>
        </is>
      </c>
      <c r="D133" s="17" t="inlineStr">
        <is>
          <t>BUDHWANI</t>
        </is>
      </c>
      <c r="E133" s="18" t="n">
        <v>35891</v>
      </c>
      <c r="F133" s="18" t="n">
        <v>40852</v>
      </c>
      <c r="G133" s="17" t="n">
        <v>7</v>
      </c>
      <c r="H133" s="17" t="inlineStr">
        <is>
          <t>Loc-1002</t>
        </is>
      </c>
      <c r="I133" s="17" t="inlineStr">
        <is>
          <t>BANGALORE</t>
        </is>
      </c>
      <c r="J133" s="17" t="inlineStr">
        <is>
          <t>76767675xx</t>
        </is>
      </c>
      <c r="K133" s="17" t="inlineStr">
        <is>
          <t>Dept-105</t>
        </is>
      </c>
      <c r="L133" s="17" t="inlineStr">
        <is>
          <t>ADMIN</t>
        </is>
      </c>
      <c r="M133" s="17" t="inlineStr">
        <is>
          <t>MBA</t>
        </is>
      </c>
      <c r="N133" s="17" t="inlineStr">
        <is>
          <t>Good</t>
        </is>
      </c>
      <c r="O133" s="17" t="inlineStr">
        <is>
          <t>Male</t>
        </is>
      </c>
      <c r="P133" s="19" t="n">
        <v>49243.05</v>
      </c>
      <c r="Q133" s="17">
        <f>IF(N133="Very Poor","Terminate","")</f>
        <v/>
      </c>
      <c r="R133" s="20">
        <f>IF(N133="Very Good",P133*5%,0)</f>
        <v/>
      </c>
      <c r="S133" s="17">
        <f>IF(P133&lt;40000,"Low",IF(AND(P133&gt;=41000,P133&lt;=80000),"Mid",IF(P133&gt;80000,"High","")))</f>
        <v/>
      </c>
      <c r="T133" s="17">
        <f>IF(AND(L133="HR",I133="MUMBAI"),"Yes","No")</f>
        <v/>
      </c>
      <c r="U133" s="17">
        <f>IF(OR(L133="HR",L133="FINANCE"),"Yes","No")</f>
        <v/>
      </c>
      <c r="V133" s="21">
        <f>IF(N133="Very Good",15%,IF(N133="Good",12%,IF(N133="Average",10%,"Not applicable")))</f>
        <v/>
      </c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</row>
    <row r="134" ht="18.75" customHeight="1" s="23">
      <c r="A134" s="17" t="inlineStr">
        <is>
          <t>EMP-95501</t>
        </is>
      </c>
      <c r="B134" s="17" t="inlineStr">
        <is>
          <t>MUSKAAN</t>
        </is>
      </c>
      <c r="C134" s="17" t="inlineStr">
        <is>
          <t>SURESH</t>
        </is>
      </c>
      <c r="D134" s="17" t="inlineStr">
        <is>
          <t>CHANDAKKAR</t>
        </is>
      </c>
      <c r="E134" s="18" t="n">
        <v>35860</v>
      </c>
      <c r="F134" s="18" t="n">
        <v>40882</v>
      </c>
      <c r="G134" s="17" t="n">
        <v>6</v>
      </c>
      <c r="H134" s="17" t="inlineStr">
        <is>
          <t>Loc-1003</t>
        </is>
      </c>
      <c r="I134" s="17" t="inlineStr">
        <is>
          <t>NAGPUR</t>
        </is>
      </c>
      <c r="J134" s="17" t="inlineStr">
        <is>
          <t>98989190xx</t>
        </is>
      </c>
      <c r="K134" s="17" t="inlineStr">
        <is>
          <t>Dept-101</t>
        </is>
      </c>
      <c r="L134" s="17" t="inlineStr">
        <is>
          <t>PRODUCTION</t>
        </is>
      </c>
      <c r="M134" s="17" t="inlineStr">
        <is>
          <t>B.E</t>
        </is>
      </c>
      <c r="N134" s="17" t="inlineStr">
        <is>
          <t>Average</t>
        </is>
      </c>
      <c r="O134" s="17" t="inlineStr">
        <is>
          <t>Female</t>
        </is>
      </c>
      <c r="P134" s="19" t="n">
        <v>41283.99000000001</v>
      </c>
      <c r="Q134" s="17">
        <f>IF(N134="Very Poor","Terminate","")</f>
        <v/>
      </c>
      <c r="R134" s="20">
        <f>IF(N134="Very Good",P134*5%,0)</f>
        <v/>
      </c>
      <c r="S134" s="17">
        <f>IF(P134&lt;40000,"Low",IF(AND(P134&gt;=41000,P134&lt;=80000),"Mid",IF(P134&gt;80000,"High","")))</f>
        <v/>
      </c>
      <c r="T134" s="17">
        <f>IF(AND(L134="HR",I134="MUMBAI"),"Yes","No")</f>
        <v/>
      </c>
      <c r="U134" s="17">
        <f>IF(OR(L134="HR",L134="FINANCE"),"Yes","No")</f>
        <v/>
      </c>
      <c r="V134" s="21">
        <f>IF(N134="Very Good",15%,IF(N134="Good",12%,IF(N134="Average",10%,"Not applicable")))</f>
        <v/>
      </c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</row>
    <row r="135" ht="18.75" customHeight="1" s="23">
      <c r="A135" s="17" t="inlineStr">
        <is>
          <t>EMP-95533</t>
        </is>
      </c>
      <c r="B135" s="17" t="inlineStr">
        <is>
          <t>JITENDRA</t>
        </is>
      </c>
      <c r="C135" s="17" t="inlineStr">
        <is>
          <t>SURYKANT</t>
        </is>
      </c>
      <c r="D135" s="17" t="inlineStr">
        <is>
          <t>BONDGE</t>
        </is>
      </c>
      <c r="E135" s="18" t="n">
        <v>36013</v>
      </c>
      <c r="F135" s="18" t="n">
        <v>40729</v>
      </c>
      <c r="G135" s="17" t="n">
        <v>8</v>
      </c>
      <c r="H135" s="17" t="inlineStr">
        <is>
          <t>Loc-1004</t>
        </is>
      </c>
      <c r="I135" s="17" t="inlineStr">
        <is>
          <t>MUMBAI</t>
        </is>
      </c>
      <c r="J135" s="17" t="inlineStr">
        <is>
          <t>96543456xx</t>
        </is>
      </c>
      <c r="K135" s="17" t="inlineStr">
        <is>
          <t>Dept-103</t>
        </is>
      </c>
      <c r="L135" s="17" t="inlineStr">
        <is>
          <t>FINANCE</t>
        </is>
      </c>
      <c r="M135" s="17" t="inlineStr">
        <is>
          <t>M.E</t>
        </is>
      </c>
      <c r="N135" s="17" t="inlineStr">
        <is>
          <t>Average</t>
        </is>
      </c>
      <c r="O135" s="17" t="inlineStr">
        <is>
          <t>Male</t>
        </is>
      </c>
      <c r="P135" s="19" t="n">
        <v>47567.7</v>
      </c>
      <c r="Q135" s="17">
        <f>IF(N135="Very Poor","Terminate","")</f>
        <v/>
      </c>
      <c r="R135" s="20">
        <f>IF(N135="Very Good",P135*5%,0)</f>
        <v/>
      </c>
      <c r="S135" s="17">
        <f>IF(P135&lt;40000,"Low",IF(AND(P135&gt;=41000,P135&lt;=80000),"Mid",IF(P135&gt;80000,"High","")))</f>
        <v/>
      </c>
      <c r="T135" s="17">
        <f>IF(AND(L135="HR",I135="MUMBAI"),"Yes","No")</f>
        <v/>
      </c>
      <c r="U135" s="17">
        <f>IF(OR(L135="HR",L135="FINANCE"),"Yes","No")</f>
        <v/>
      </c>
      <c r="V135" s="21">
        <f>IF(N135="Very Good",15%,IF(N135="Good",12%,IF(N135="Average",10%,"Not applicable")))</f>
        <v/>
      </c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</row>
    <row r="136" ht="18.75" customHeight="1" s="23">
      <c r="A136" s="17" t="inlineStr">
        <is>
          <t>EMP-95535</t>
        </is>
      </c>
      <c r="B136" s="17" t="inlineStr">
        <is>
          <t>HRISHIKESH</t>
        </is>
      </c>
      <c r="C136" s="17" t="inlineStr">
        <is>
          <t>SUSHILKUMAR</t>
        </is>
      </c>
      <c r="D136" s="17" t="inlineStr">
        <is>
          <t>BIRAJDAR</t>
        </is>
      </c>
      <c r="E136" s="18" t="n">
        <v>36044</v>
      </c>
      <c r="F136" s="18" t="n">
        <v>40699</v>
      </c>
      <c r="G136" s="17" t="n">
        <v>5</v>
      </c>
      <c r="H136" s="17" t="inlineStr">
        <is>
          <t>Loc-1004</t>
        </is>
      </c>
      <c r="I136" s="17" t="inlineStr">
        <is>
          <t>MUMBAI</t>
        </is>
      </c>
      <c r="J136" s="17" t="inlineStr">
        <is>
          <t>97665788xx</t>
        </is>
      </c>
      <c r="K136" s="17" t="inlineStr">
        <is>
          <t>Dept-103</t>
        </is>
      </c>
      <c r="L136" s="17" t="inlineStr">
        <is>
          <t>FINANCE</t>
        </is>
      </c>
      <c r="M136" s="17" t="inlineStr">
        <is>
          <t>B.E</t>
        </is>
      </c>
      <c r="N136" s="17" t="inlineStr">
        <is>
          <t>Very Good</t>
        </is>
      </c>
      <c r="O136" s="17" t="inlineStr">
        <is>
          <t>Male</t>
        </is>
      </c>
      <c r="P136" s="19" t="n">
        <v>55343.16</v>
      </c>
      <c r="Q136" s="17">
        <f>IF(N136="Very Poor","Terminate","")</f>
        <v/>
      </c>
      <c r="R136" s="20">
        <f>IF(N136="Very Good",P136*5%,0)</f>
        <v/>
      </c>
      <c r="S136" s="17">
        <f>IF(P136&lt;40000,"Low",IF(AND(P136&gt;=41000,P136&lt;=80000),"Mid",IF(P136&gt;80000,"High","")))</f>
        <v/>
      </c>
      <c r="T136" s="17">
        <f>IF(AND(L136="HR",I136="MUMBAI"),"Yes","No")</f>
        <v/>
      </c>
      <c r="U136" s="17">
        <f>IF(OR(L136="HR",L136="FINANCE"),"Yes","No")</f>
        <v/>
      </c>
      <c r="V136" s="21">
        <f>IF(N136="Very Good",15%,IF(N136="Good",12%,IF(N136="Average",10%,"Not applicable")))</f>
        <v/>
      </c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</row>
    <row r="137" ht="18.75" customHeight="1" s="23">
      <c r="A137" s="17" t="inlineStr">
        <is>
          <t>EMP-95502</t>
        </is>
      </c>
      <c r="B137" s="17" t="inlineStr">
        <is>
          <t>HITESH</t>
        </is>
      </c>
      <c r="C137" s="17" t="inlineStr">
        <is>
          <t>VALISAB</t>
        </is>
      </c>
      <c r="D137" s="17" t="inlineStr">
        <is>
          <t>BHOLANE</t>
        </is>
      </c>
      <c r="E137" s="18" t="n">
        <v>36074</v>
      </c>
      <c r="F137" s="18" t="n">
        <v>43956</v>
      </c>
      <c r="G137" s="17" t="n">
        <v>6</v>
      </c>
      <c r="H137" s="17" t="inlineStr">
        <is>
          <t>Loc-1003</t>
        </is>
      </c>
      <c r="I137" s="17" t="inlineStr">
        <is>
          <t>NAGPUR</t>
        </is>
      </c>
      <c r="J137" s="17" t="inlineStr">
        <is>
          <t>99234567xx</t>
        </is>
      </c>
      <c r="K137" s="17" t="inlineStr">
        <is>
          <t>Dept-104</t>
        </is>
      </c>
      <c r="L137" s="17" t="inlineStr">
        <is>
          <t>MARKETING</t>
        </is>
      </c>
      <c r="M137" s="17" t="inlineStr">
        <is>
          <t>MBA</t>
        </is>
      </c>
      <c r="N137" s="17" t="inlineStr">
        <is>
          <t>Very Good</t>
        </is>
      </c>
      <c r="O137" s="17" t="inlineStr">
        <is>
          <t>Male</t>
        </is>
      </c>
      <c r="P137" s="19" t="n">
        <v>108320.94</v>
      </c>
      <c r="Q137" s="17">
        <f>IF(N137="Very Poor","Terminate","")</f>
        <v/>
      </c>
      <c r="R137" s="20">
        <f>IF(N137="Very Good",P137*5%,0)</f>
        <v/>
      </c>
      <c r="S137" s="17">
        <f>IF(P137&lt;40000,"Low",IF(AND(P137&gt;=41000,P137&lt;=80000),"Mid",IF(P137&gt;80000,"High","")))</f>
        <v/>
      </c>
      <c r="T137" s="17">
        <f>IF(AND(L137="HR",I137="MUMBAI"),"Yes","No")</f>
        <v/>
      </c>
      <c r="U137" s="17">
        <f>IF(OR(L137="HR",L137="FINANCE"),"Yes","No")</f>
        <v/>
      </c>
      <c r="V137" s="21">
        <f>IF(N137="Very Good",15%,IF(N137="Good",12%,IF(N137="Average",10%,"Not applicable")))</f>
        <v/>
      </c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</row>
    <row r="138" ht="18.75" customHeight="1" s="23">
      <c r="A138" s="17" t="inlineStr">
        <is>
          <t>EMP-95576</t>
        </is>
      </c>
      <c r="B138" s="17" t="inlineStr">
        <is>
          <t>FARHIN</t>
        </is>
      </c>
      <c r="C138" s="17" t="inlineStr">
        <is>
          <t>VASANTHA</t>
        </is>
      </c>
      <c r="D138" s="17" t="inlineStr">
        <is>
          <t>BHARATE</t>
        </is>
      </c>
      <c r="E138" s="18" t="n">
        <v>36105</v>
      </c>
      <c r="F138" s="18" t="n">
        <v>40638</v>
      </c>
      <c r="G138" s="17" t="n">
        <v>7</v>
      </c>
      <c r="H138" s="17" t="inlineStr">
        <is>
          <t>Loc-1006</t>
        </is>
      </c>
      <c r="I138" s="17" t="inlineStr">
        <is>
          <t>PUNE</t>
        </is>
      </c>
      <c r="J138" s="17" t="inlineStr">
        <is>
          <t>77889966xx</t>
        </is>
      </c>
      <c r="K138" s="17" t="inlineStr">
        <is>
          <t>Dept-102</t>
        </is>
      </c>
      <c r="L138" s="17" t="inlineStr">
        <is>
          <t>HR</t>
        </is>
      </c>
      <c r="M138" s="17" t="inlineStr">
        <is>
          <t>BCOM</t>
        </is>
      </c>
      <c r="N138" s="17" t="inlineStr">
        <is>
          <t>Good</t>
        </is>
      </c>
      <c r="O138" s="17" t="inlineStr">
        <is>
          <t>Female</t>
        </is>
      </c>
      <c r="P138" s="19" t="n">
        <v>139760.91</v>
      </c>
      <c r="Q138" s="17">
        <f>IF(N138="Very Poor","Terminate","")</f>
        <v/>
      </c>
      <c r="R138" s="20">
        <f>IF(N138="Very Good",P138*5%,0)</f>
        <v/>
      </c>
      <c r="S138" s="17">
        <f>IF(P138&lt;40000,"Low",IF(AND(P138&gt;=41000,P138&lt;=80000),"Mid",IF(P138&gt;80000,"High","")))</f>
        <v/>
      </c>
      <c r="T138" s="17">
        <f>IF(AND(L138="HR",I138="MUMBAI"),"Yes","No")</f>
        <v/>
      </c>
      <c r="U138" s="17">
        <f>IF(OR(L138="HR",L138="FINANCE"),"Yes","No")</f>
        <v/>
      </c>
      <c r="V138" s="21">
        <f>IF(N138="Very Good",15%,IF(N138="Good",12%,IF(N138="Average",10%,"Not applicable")))</f>
        <v/>
      </c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</row>
    <row r="139" ht="18.75" customHeight="1" s="23">
      <c r="A139" s="17" t="inlineStr">
        <is>
          <t>EMP-95478</t>
        </is>
      </c>
      <c r="B139" s="17" t="inlineStr">
        <is>
          <t>DINESH</t>
        </is>
      </c>
      <c r="C139" s="17" t="inlineStr">
        <is>
          <t>VENKATESHWAR</t>
        </is>
      </c>
      <c r="D139" s="17" t="inlineStr">
        <is>
          <t>BHAPKAR</t>
        </is>
      </c>
      <c r="E139" s="18" t="n">
        <v>36135</v>
      </c>
      <c r="F139" s="18" t="n">
        <v>40607</v>
      </c>
      <c r="G139" s="17" t="n">
        <v>8</v>
      </c>
      <c r="H139" s="17" t="inlineStr">
        <is>
          <t>Loc-1002</t>
        </is>
      </c>
      <c r="I139" s="17" t="inlineStr">
        <is>
          <t>BANGALORE</t>
        </is>
      </c>
      <c r="J139" s="17" t="inlineStr">
        <is>
          <t>98989998xx</t>
        </is>
      </c>
      <c r="K139" s="17" t="inlineStr">
        <is>
          <t>Dept-104</t>
        </is>
      </c>
      <c r="L139" s="17" t="inlineStr">
        <is>
          <t>MARKETING</t>
        </is>
      </c>
      <c r="M139" s="17" t="inlineStr">
        <is>
          <t>PGDBM</t>
        </is>
      </c>
      <c r="N139" s="17" t="inlineStr">
        <is>
          <t>Not Rated</t>
        </is>
      </c>
      <c r="O139" s="17" t="inlineStr">
        <is>
          <t>Male</t>
        </is>
      </c>
      <c r="P139" s="19" t="n">
        <v>18314.1</v>
      </c>
      <c r="Q139" s="17">
        <f>IF(N139="Very Poor","Terminate","")</f>
        <v/>
      </c>
      <c r="R139" s="20">
        <f>IF(N139="Very Good",P139*5%,0)</f>
        <v/>
      </c>
      <c r="S139" s="17">
        <f>IF(P139&lt;40000,"Low",IF(AND(P139&gt;=41000,P139&lt;=80000),"Mid",IF(P139&gt;80000,"High","")))</f>
        <v/>
      </c>
      <c r="T139" s="17">
        <f>IF(AND(L139="HR",I139="MUMBAI"),"Yes","No")</f>
        <v/>
      </c>
      <c r="U139" s="17">
        <f>IF(OR(L139="HR",L139="FINANCE"),"Yes","No")</f>
        <v/>
      </c>
      <c r="V139" s="21">
        <f>IF(N139="Very Good",15%,IF(N139="Good",12%,IF(N139="Average",10%,"Not applicable")))</f>
        <v/>
      </c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</row>
    <row r="140" ht="18.75" customHeight="1" s="23">
      <c r="A140" s="17" t="inlineStr">
        <is>
          <t>EMP-95460</t>
        </is>
      </c>
      <c r="B140" s="17" t="inlineStr">
        <is>
          <t>DATTATRAY</t>
        </is>
      </c>
      <c r="C140" s="17" t="inlineStr">
        <is>
          <t>VIBHISHAN</t>
        </is>
      </c>
      <c r="D140" s="17" t="inlineStr">
        <is>
          <t>BENDBHAR</t>
        </is>
      </c>
      <c r="E140" s="18" t="n">
        <v>36166</v>
      </c>
      <c r="F140" s="18" t="n">
        <v>40579</v>
      </c>
      <c r="G140" s="17" t="n">
        <v>6</v>
      </c>
      <c r="H140" s="17" t="inlineStr">
        <is>
          <t>Loc-1001</t>
        </is>
      </c>
      <c r="I140" s="17" t="inlineStr">
        <is>
          <t>DELHI</t>
        </is>
      </c>
      <c r="J140" s="17" t="inlineStr">
        <is>
          <t>98989090xx</t>
        </is>
      </c>
      <c r="K140" s="17" t="inlineStr">
        <is>
          <t>Dept-101</t>
        </is>
      </c>
      <c r="L140" s="17" t="inlineStr">
        <is>
          <t>PRODUCTION</t>
        </is>
      </c>
      <c r="M140" s="17" t="inlineStr">
        <is>
          <t>MBA</t>
        </is>
      </c>
      <c r="N140" s="17" t="inlineStr">
        <is>
          <t>Poor</t>
        </is>
      </c>
      <c r="O140" s="17" t="inlineStr">
        <is>
          <t>Male</t>
        </is>
      </c>
      <c r="P140" s="19" t="n">
        <v>99801.89999999999</v>
      </c>
      <c r="Q140" s="17">
        <f>IF(N140="Very Poor","Terminate","")</f>
        <v/>
      </c>
      <c r="R140" s="20">
        <f>IF(N140="Very Good",P140*5%,0)</f>
        <v/>
      </c>
      <c r="S140" s="17">
        <f>IF(P140&lt;40000,"Low",IF(AND(P140&gt;=41000,P140&lt;=80000),"Mid",IF(P140&gt;80000,"High","")))</f>
        <v/>
      </c>
      <c r="T140" s="17">
        <f>IF(AND(L140="HR",I140="MUMBAI"),"Yes","No")</f>
        <v/>
      </c>
      <c r="U140" s="17">
        <f>IF(OR(L140="HR",L140="FINANCE"),"Yes","No")</f>
        <v/>
      </c>
      <c r="V140" s="21">
        <f>IF(N140="Very Good",15%,IF(N140="Good",12%,IF(N140="Average",10%,"Not applicable")))</f>
        <v/>
      </c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</row>
    <row r="141" ht="18.75" customHeight="1" s="23">
      <c r="A141" s="17" t="inlineStr">
        <is>
          <t>EMP-95587</t>
        </is>
      </c>
      <c r="B141" s="17" t="inlineStr">
        <is>
          <t>ANKITA</t>
        </is>
      </c>
      <c r="C141" s="17" t="inlineStr">
        <is>
          <t>VIJAY</t>
        </is>
      </c>
      <c r="D141" s="17" t="inlineStr">
        <is>
          <t>ARVIKAR</t>
        </is>
      </c>
      <c r="E141" s="18" t="n">
        <v>36256</v>
      </c>
      <c r="F141" s="18" t="n">
        <v>44350</v>
      </c>
      <c r="G141" s="17" t="n">
        <v>5</v>
      </c>
      <c r="H141" s="17" t="inlineStr">
        <is>
          <t>Loc-1006</t>
        </is>
      </c>
      <c r="I141" s="17" t="inlineStr">
        <is>
          <t>PUNE</t>
        </is>
      </c>
      <c r="J141" s="17" t="inlineStr">
        <is>
          <t>94556155xx</t>
        </is>
      </c>
      <c r="K141" s="17" t="inlineStr">
        <is>
          <t>Dept-103</t>
        </is>
      </c>
      <c r="L141" s="17" t="inlineStr">
        <is>
          <t>FINANCE</t>
        </is>
      </c>
      <c r="M141" s="17" t="inlineStr">
        <is>
          <t>MBA</t>
        </is>
      </c>
      <c r="N141" s="17" t="inlineStr">
        <is>
          <t>Good</t>
        </is>
      </c>
      <c r="O141" s="17" t="inlineStr">
        <is>
          <t>Female</t>
        </is>
      </c>
      <c r="P141" s="19" t="n">
        <v>117266.85</v>
      </c>
      <c r="Q141" s="17">
        <f>IF(N141="Very Poor","Terminate","")</f>
        <v/>
      </c>
      <c r="R141" s="20">
        <f>IF(N141="Very Good",P141*5%,0)</f>
        <v/>
      </c>
      <c r="S141" s="17">
        <f>IF(P141&lt;40000,"Low",IF(AND(P141&gt;=41000,P141&lt;=80000),"Mid",IF(P141&gt;80000,"High","")))</f>
        <v/>
      </c>
      <c r="T141" s="17">
        <f>IF(AND(L141="HR",I141="MUMBAI"),"Yes","No")</f>
        <v/>
      </c>
      <c r="U141" s="17">
        <f>IF(OR(L141="HR",L141="FINANCE"),"Yes","No")</f>
        <v/>
      </c>
      <c r="V141" s="21">
        <f>IF(N141="Very Good",15%,IF(N141="Good",12%,IF(N141="Average",10%,"Not applicable")))</f>
        <v/>
      </c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</row>
    <row r="142" ht="18.75" customHeight="1" s="23">
      <c r="A142" s="17" t="inlineStr">
        <is>
          <t>EMP-95572</t>
        </is>
      </c>
      <c r="B142" s="17" t="inlineStr">
        <is>
          <t>ANKITA</t>
        </is>
      </c>
      <c r="C142" s="17" t="inlineStr">
        <is>
          <t>VIJAY</t>
        </is>
      </c>
      <c r="D142" s="17" t="inlineStr">
        <is>
          <t>BAGAI</t>
        </is>
      </c>
      <c r="E142" s="18" t="n">
        <v>36225</v>
      </c>
      <c r="F142" s="18" t="n">
        <v>40517</v>
      </c>
      <c r="G142" s="17" t="n">
        <v>8</v>
      </c>
      <c r="H142" s="17" t="inlineStr">
        <is>
          <t>Loc-1005</t>
        </is>
      </c>
      <c r="I142" s="17" t="inlineStr">
        <is>
          <t>CHENNAI</t>
        </is>
      </c>
      <c r="J142" s="17" t="inlineStr">
        <is>
          <t>96898685xx</t>
        </is>
      </c>
      <c r="K142" s="17" t="inlineStr">
        <is>
          <t>Dept-105</t>
        </is>
      </c>
      <c r="L142" s="17" t="inlineStr">
        <is>
          <t>ADMIN</t>
        </is>
      </c>
      <c r="M142" s="17" t="inlineStr">
        <is>
          <t>BBM</t>
        </is>
      </c>
      <c r="N142" s="17" t="inlineStr">
        <is>
          <t>Poor</t>
        </is>
      </c>
      <c r="O142" s="17" t="inlineStr">
        <is>
          <t>Female</t>
        </is>
      </c>
      <c r="P142" s="19" t="n">
        <v>82194.66</v>
      </c>
      <c r="Q142" s="17">
        <f>IF(N142="Very Poor","Terminate","")</f>
        <v/>
      </c>
      <c r="R142" s="20">
        <f>IF(N142="Very Good",P142*5%,0)</f>
        <v/>
      </c>
      <c r="S142" s="17">
        <f>IF(P142&lt;40000,"Low",IF(AND(P142&gt;=41000,P142&lt;=80000),"Mid",IF(P142&gt;80000,"High","")))</f>
        <v/>
      </c>
      <c r="T142" s="17">
        <f>IF(AND(L142="HR",I142="MUMBAI"),"Yes","No")</f>
        <v/>
      </c>
      <c r="U142" s="17">
        <f>IF(OR(L142="HR",L142="FINANCE"),"Yes","No")</f>
        <v/>
      </c>
      <c r="V142" s="21">
        <f>IF(N142="Very Good",15%,IF(N142="Good",12%,IF(N142="Average",10%,"Not applicable")))</f>
        <v/>
      </c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</row>
    <row r="143" ht="18.75" customHeight="1" s="23">
      <c r="A143" s="17" t="inlineStr">
        <is>
          <t>EMP-95479</t>
        </is>
      </c>
      <c r="B143" s="17" t="inlineStr">
        <is>
          <t>APOORVA</t>
        </is>
      </c>
      <c r="C143" s="17" t="inlineStr">
        <is>
          <t>VIJAY</t>
        </is>
      </c>
      <c r="D143" s="17" t="inlineStr">
        <is>
          <t>BELDARE</t>
        </is>
      </c>
      <c r="E143" s="18" t="n">
        <v>36197</v>
      </c>
      <c r="F143" s="18" t="n">
        <v>40548</v>
      </c>
      <c r="G143" s="17" t="n">
        <v>7</v>
      </c>
      <c r="H143" s="17" t="inlineStr">
        <is>
          <t>Loc-1003</t>
        </is>
      </c>
      <c r="I143" s="17" t="inlineStr">
        <is>
          <t>NAGPUR</t>
        </is>
      </c>
      <c r="J143" s="17" t="inlineStr">
        <is>
          <t>76767676xx</t>
        </is>
      </c>
      <c r="K143" s="17" t="inlineStr">
        <is>
          <t>Dept-101</t>
        </is>
      </c>
      <c r="L143" s="17" t="inlineStr">
        <is>
          <t>PRODUCTION</t>
        </is>
      </c>
      <c r="M143" s="17" t="inlineStr">
        <is>
          <t>MBA</t>
        </is>
      </c>
      <c r="N143" s="17" t="inlineStr">
        <is>
          <t>Very Poor</t>
        </is>
      </c>
      <c r="O143" s="17" t="inlineStr">
        <is>
          <t>Female</t>
        </is>
      </c>
      <c r="P143" s="19" t="n">
        <v>62942.67</v>
      </c>
      <c r="Q143" s="17">
        <f>IF(N143="Very Poor","Terminate","")</f>
        <v/>
      </c>
      <c r="R143" s="20">
        <f>IF(N143="Very Good",P143*5%,0)</f>
        <v/>
      </c>
      <c r="S143" s="17">
        <f>IF(P143&lt;40000,"Low",IF(AND(P143&gt;=41000,P143&lt;=80000),"Mid",IF(P143&gt;80000,"High","")))</f>
        <v/>
      </c>
      <c r="T143" s="17">
        <f>IF(AND(L143="HR",I143="MUMBAI"),"Yes","No")</f>
        <v/>
      </c>
      <c r="U143" s="17">
        <f>IF(OR(L143="HR",L143="FINANCE"),"Yes","No")</f>
        <v/>
      </c>
      <c r="V143" s="21">
        <f>IF(N143="Very Good",15%,IF(N143="Good",12%,IF(N143="Average",10%,"Not applicable")))</f>
        <v/>
      </c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</row>
    <row r="144" ht="18.75" customHeight="1" s="23">
      <c r="A144" s="17" t="inlineStr">
        <is>
          <t>EMP-95457</t>
        </is>
      </c>
      <c r="B144" s="17" t="inlineStr">
        <is>
          <t>ANKIT</t>
        </is>
      </c>
      <c r="C144" s="17" t="inlineStr">
        <is>
          <t>VILAS</t>
        </is>
      </c>
      <c r="D144" s="17" t="inlineStr">
        <is>
          <t>AHUJA</t>
        </is>
      </c>
      <c r="E144" s="18" t="n">
        <v>36286</v>
      </c>
      <c r="F144" s="18" t="n">
        <v>44348</v>
      </c>
      <c r="G144" s="17" t="n">
        <v>6</v>
      </c>
      <c r="H144" s="17" t="inlineStr">
        <is>
          <t>Loc-1001</t>
        </is>
      </c>
      <c r="I144" s="17" t="inlineStr">
        <is>
          <t>DELHI</t>
        </is>
      </c>
      <c r="J144" s="17" t="inlineStr">
        <is>
          <t>90909090xx</t>
        </is>
      </c>
      <c r="K144" s="17" t="inlineStr">
        <is>
          <t>Dept-101</t>
        </is>
      </c>
      <c r="L144" s="17" t="inlineStr">
        <is>
          <t>PRODUCTION</t>
        </is>
      </c>
      <c r="M144" s="17" t="inlineStr">
        <is>
          <t>CA</t>
        </is>
      </c>
      <c r="N144" s="17" t="inlineStr">
        <is>
          <t>Very Good</t>
        </is>
      </c>
      <c r="O144" s="17" t="inlineStr">
        <is>
          <t>Male</t>
        </is>
      </c>
      <c r="P144" s="19" t="n">
        <v>132444.45</v>
      </c>
      <c r="Q144" s="17">
        <f>IF(N144="Very Poor","Terminate","")</f>
        <v/>
      </c>
      <c r="R144" s="20">
        <f>IF(N144="Very Good",P144*5%,0)</f>
        <v/>
      </c>
      <c r="S144" s="17">
        <f>IF(P144&lt;40000,"Low",IF(AND(P144&gt;=41000,P144&lt;=80000),"Mid",IF(P144&gt;80000,"High","")))</f>
        <v/>
      </c>
      <c r="T144" s="17">
        <f>IF(AND(L144="HR",I144="MUMBAI"),"Yes","No")</f>
        <v/>
      </c>
      <c r="U144" s="17">
        <f>IF(OR(L144="HR",L144="FINANCE"),"Yes","No")</f>
        <v/>
      </c>
      <c r="V144" s="21">
        <f>IF(N144="Very Good",15%,IF(N144="Good",12%,IF(N144="Average",10%,"Not applicable")))</f>
        <v/>
      </c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</row>
    <row r="145" ht="18.75" customHeight="1" s="23">
      <c r="A145" s="17" t="inlineStr">
        <is>
          <t>EMP-95459</t>
        </is>
      </c>
      <c r="B145" s="17" t="inlineStr">
        <is>
          <t>ANIKET</t>
        </is>
      </c>
      <c r="C145" s="17" t="inlineStr">
        <is>
          <t>VINAY</t>
        </is>
      </c>
      <c r="D145" s="17" t="inlineStr">
        <is>
          <t>AGRAWAL</t>
        </is>
      </c>
      <c r="E145" s="18" t="n">
        <v>36317</v>
      </c>
      <c r="F145" s="18" t="n">
        <v>44352</v>
      </c>
      <c r="G145" s="17" t="n">
        <v>7</v>
      </c>
      <c r="H145" s="17" t="inlineStr">
        <is>
          <t>Loc-1001</t>
        </is>
      </c>
      <c r="I145" s="17" t="inlineStr">
        <is>
          <t>DELHI</t>
        </is>
      </c>
      <c r="J145" s="17" t="inlineStr">
        <is>
          <t>96573456xx</t>
        </is>
      </c>
      <c r="K145" s="17" t="inlineStr">
        <is>
          <t>Dept-104</t>
        </is>
      </c>
      <c r="L145" s="17" t="inlineStr">
        <is>
          <t>MARKETING</t>
        </is>
      </c>
      <c r="M145" s="17" t="inlineStr">
        <is>
          <t>B.E</t>
        </is>
      </c>
      <c r="N145" s="17" t="inlineStr">
        <is>
          <t>Not Rated</t>
        </is>
      </c>
      <c r="O145" s="17" t="inlineStr">
        <is>
          <t>Male</t>
        </is>
      </c>
      <c r="P145" s="19" t="n">
        <v>104584.68</v>
      </c>
      <c r="Q145" s="17">
        <f>IF(N145="Very Poor","Terminate","")</f>
        <v/>
      </c>
      <c r="R145" s="20">
        <f>IF(N145="Very Good",P145*5%,0)</f>
        <v/>
      </c>
      <c r="S145" s="17">
        <f>IF(P145&lt;40000,"Low",IF(AND(P145&gt;=41000,P145&lt;=80000),"Mid",IF(P145&gt;80000,"High","")))</f>
        <v/>
      </c>
      <c r="T145" s="17">
        <f>IF(AND(L145="HR",I145="MUMBAI"),"Yes","No")</f>
        <v/>
      </c>
      <c r="U145" s="17">
        <f>IF(OR(L145="HR",L145="FINANCE"),"Yes","No")</f>
        <v/>
      </c>
      <c r="V145" s="21">
        <f>IF(N145="Very Good",15%,IF(N145="Good",12%,IF(N145="Average",10%,"Not applicable")))</f>
        <v/>
      </c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</row>
    <row r="146" ht="18.75" customHeight="1" s="23">
      <c r="A146" s="17" t="inlineStr">
        <is>
          <t>EMP-95573</t>
        </is>
      </c>
      <c r="B146" s="17" t="inlineStr">
        <is>
          <t>AMAN</t>
        </is>
      </c>
      <c r="C146" s="17" t="inlineStr">
        <is>
          <t>VITTHAL</t>
        </is>
      </c>
      <c r="D146" s="17" t="inlineStr">
        <is>
          <t>AGARWAL</t>
        </is>
      </c>
      <c r="E146" s="18" t="n">
        <v>36347</v>
      </c>
      <c r="F146" s="18" t="n">
        <v>44352</v>
      </c>
      <c r="G146" s="17" t="n">
        <v>8</v>
      </c>
      <c r="H146" s="17" t="inlineStr">
        <is>
          <t>Loc-1005</t>
        </is>
      </c>
      <c r="I146" s="17" t="inlineStr">
        <is>
          <t>CHENNAI</t>
        </is>
      </c>
      <c r="J146" s="17" t="inlineStr">
        <is>
          <t>97667788xx</t>
        </is>
      </c>
      <c r="K146" s="17" t="inlineStr">
        <is>
          <t>Dept-102</t>
        </is>
      </c>
      <c r="L146" s="17" t="inlineStr">
        <is>
          <t>HR</t>
        </is>
      </c>
      <c r="M146" s="17" t="inlineStr">
        <is>
          <t>B.E</t>
        </is>
      </c>
      <c r="N146" s="17" t="inlineStr">
        <is>
          <t>Not Rated</t>
        </is>
      </c>
      <c r="O146" s="17" t="inlineStr">
        <is>
          <t>Male</t>
        </is>
      </c>
      <c r="P146" s="19" t="n">
        <v>64116.18</v>
      </c>
      <c r="Q146" s="17">
        <f>IF(N146="Very Poor","Terminate","")</f>
        <v/>
      </c>
      <c r="R146" s="20">
        <f>IF(N146="Very Good",P146*5%,0)</f>
        <v/>
      </c>
      <c r="S146" s="17">
        <f>IF(P146&lt;40000,"Low",IF(AND(P146&gt;=41000,P146&lt;=80000),"Mid",IF(P146&gt;80000,"High","")))</f>
        <v/>
      </c>
      <c r="T146" s="17">
        <f>IF(AND(L146="HR",I146="MUMBAI"),"Yes","No")</f>
        <v/>
      </c>
      <c r="U146" s="17">
        <f>IF(OR(L146="HR",L146="FINANCE"),"Yes","No")</f>
        <v/>
      </c>
      <c r="V146" s="21">
        <f>IF(N146="Very Good",15%,IF(N146="Good",12%,IF(N146="Average",10%,"Not applicable")))</f>
        <v/>
      </c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</row>
    <row r="147" ht="18.75" customHeight="1" s="23">
      <c r="A147" s="17" t="inlineStr">
        <is>
          <t>EMP-95568</t>
        </is>
      </c>
      <c r="B147" s="17" t="inlineStr">
        <is>
          <t>AKASH</t>
        </is>
      </c>
      <c r="C147" s="17" t="inlineStr">
        <is>
          <t>VIVEK</t>
        </is>
      </c>
      <c r="D147" s="17" t="inlineStr">
        <is>
          <t>AGARWAL</t>
        </is>
      </c>
      <c r="E147" s="18" t="n">
        <v>36378</v>
      </c>
      <c r="F147" s="18" t="n">
        <v>44352</v>
      </c>
      <c r="G147" s="17" t="n">
        <v>6</v>
      </c>
      <c r="H147" s="17" t="inlineStr">
        <is>
          <t>Loc-1005</t>
        </is>
      </c>
      <c r="I147" s="17" t="inlineStr">
        <is>
          <t>CHENNAI</t>
        </is>
      </c>
      <c r="J147" s="17" t="inlineStr">
        <is>
          <t>91234567xx</t>
        </is>
      </c>
      <c r="K147" s="17" t="inlineStr">
        <is>
          <t>Dept-105</t>
        </is>
      </c>
      <c r="L147" s="17" t="inlineStr">
        <is>
          <t>ADMIN</t>
        </is>
      </c>
      <c r="M147" s="17" t="inlineStr">
        <is>
          <t>PGDBM</t>
        </is>
      </c>
      <c r="N147" s="17" t="inlineStr">
        <is>
          <t>Not Rated</t>
        </is>
      </c>
      <c r="O147" s="17" t="inlineStr">
        <is>
          <t>Male</t>
        </is>
      </c>
      <c r="P147" s="19" t="n">
        <v>27693</v>
      </c>
      <c r="Q147" s="17">
        <f>IF(N147="Very Poor","Terminate","")</f>
        <v/>
      </c>
      <c r="R147" s="20">
        <f>IF(N147="Very Good",P147*5%,0)</f>
        <v/>
      </c>
      <c r="S147" s="17">
        <f>IF(P147&lt;40000,"Low",IF(AND(P147&gt;=41000,P147&lt;=80000),"Mid",IF(P147&gt;80000,"High","")))</f>
        <v/>
      </c>
      <c r="T147" s="17">
        <f>IF(AND(L147="HR",I147="MUMBAI"),"Yes","No")</f>
        <v/>
      </c>
      <c r="U147" s="17">
        <f>IF(OR(L147="HR",L147="FINANCE"),"Yes","No")</f>
        <v/>
      </c>
      <c r="V147" s="21">
        <f>IF(N147="Very Good",15%,IF(N147="Good",12%,IF(N147="Average",10%,"Not applicable")))</f>
        <v/>
      </c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</row>
    <row r="148" ht="18.75" customHeight="1" s="23">
      <c r="A148" s="17" t="inlineStr">
        <is>
          <t>EMP-95541</t>
        </is>
      </c>
      <c r="B148" s="17" t="inlineStr">
        <is>
          <t>AJAY</t>
        </is>
      </c>
      <c r="C148" s="17" t="inlineStr">
        <is>
          <t>WAMAN</t>
        </is>
      </c>
      <c r="D148" s="17" t="inlineStr">
        <is>
          <t>ADHAV</t>
        </is>
      </c>
      <c r="E148" s="18" t="n">
        <v>36409</v>
      </c>
      <c r="F148" s="18" t="n">
        <v>44352</v>
      </c>
      <c r="G148" s="17" t="n">
        <v>7</v>
      </c>
      <c r="H148" s="17" t="inlineStr">
        <is>
          <t>Loc-1005</t>
        </is>
      </c>
      <c r="I148" s="17" t="inlineStr">
        <is>
          <t>CHENNAI</t>
        </is>
      </c>
      <c r="J148" s="17" t="inlineStr">
        <is>
          <t>77839966xx</t>
        </is>
      </c>
      <c r="K148" s="17" t="inlineStr">
        <is>
          <t>Dept-103</t>
        </is>
      </c>
      <c r="L148" s="17" t="inlineStr">
        <is>
          <t>FINANCE</t>
        </is>
      </c>
      <c r="M148" s="17" t="inlineStr">
        <is>
          <t>M.E</t>
        </is>
      </c>
      <c r="N148" s="17" t="inlineStr">
        <is>
          <t>Average</t>
        </is>
      </c>
      <c r="O148" s="17" t="inlineStr">
        <is>
          <t>Male</t>
        </is>
      </c>
      <c r="P148" s="19" t="n">
        <v>111855.24</v>
      </c>
      <c r="Q148" s="17">
        <f>IF(N148="Very Poor","Terminate","")</f>
        <v/>
      </c>
      <c r="R148" s="20">
        <f>IF(N148="Very Good",P148*5%,0)</f>
        <v/>
      </c>
      <c r="S148" s="17">
        <f>IF(P148&lt;40000,"Low",IF(AND(P148&gt;=41000,P148&lt;=80000),"Mid",IF(P148&gt;80000,"High","")))</f>
        <v/>
      </c>
      <c r="T148" s="17">
        <f>IF(AND(L148="HR",I148="MUMBAI"),"Yes","No")</f>
        <v/>
      </c>
      <c r="U148" s="17">
        <f>IF(OR(L148="HR",L148="FINANCE"),"Yes","No")</f>
        <v/>
      </c>
      <c r="V148" s="21">
        <f>IF(N148="Very Good",15%,IF(N148="Good",12%,IF(N148="Average",10%,"Not applicable")))</f>
        <v/>
      </c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</row>
    <row r="149" ht="18.75" customHeight="1" s="23">
      <c r="A149" s="17" t="inlineStr">
        <is>
          <t>EMP-95538</t>
        </is>
      </c>
      <c r="B149" s="17" t="inlineStr">
        <is>
          <t>AFREEN</t>
        </is>
      </c>
      <c r="C149" s="17" t="inlineStr">
        <is>
          <t>YASHWANT</t>
        </is>
      </c>
      <c r="D149" s="17" t="inlineStr">
        <is>
          <t>AAGAVANE</t>
        </is>
      </c>
      <c r="E149" s="18" t="n">
        <v>36439</v>
      </c>
      <c r="F149" s="18" t="n">
        <v>44349</v>
      </c>
      <c r="G149" s="17" t="n">
        <v>8</v>
      </c>
      <c r="H149" s="17" t="inlineStr">
        <is>
          <t>Loc-1004</t>
        </is>
      </c>
      <c r="I149" s="17" t="inlineStr">
        <is>
          <t>MUMBAI</t>
        </is>
      </c>
      <c r="J149" s="17" t="inlineStr">
        <is>
          <t>98989598xx</t>
        </is>
      </c>
      <c r="K149" s="17" t="inlineStr">
        <is>
          <t>Dept-102</t>
        </is>
      </c>
      <c r="L149" s="17" t="inlineStr">
        <is>
          <t>HR</t>
        </is>
      </c>
      <c r="M149" s="17" t="inlineStr">
        <is>
          <t>MBA</t>
        </is>
      </c>
      <c r="N149" s="17" t="inlineStr">
        <is>
          <t>Not Rated</t>
        </is>
      </c>
      <c r="O149" s="17" t="inlineStr">
        <is>
          <t>Female</t>
        </is>
      </c>
      <c r="P149" s="19" t="inlineStr"/>
      <c r="Q149" s="17">
        <f>IF(N149="Very Poor","Terminate","")</f>
        <v/>
      </c>
      <c r="R149" s="20">
        <f>IF(N149="Very Good",P149*5%,0)</f>
        <v/>
      </c>
      <c r="S149" s="17">
        <f>IF(P149&lt;40000,"Low",IF(AND(P149&gt;=41000,P149&lt;=80000),"Mid",IF(P149&gt;80000,"High","")))</f>
        <v/>
      </c>
      <c r="T149" s="17">
        <f>IF(AND(L149="HR",I149="MUMBAI"),"Yes","No")</f>
        <v/>
      </c>
      <c r="U149" s="17">
        <f>IF(OR(L149="HR",L149="FINANCE"),"Yes","No")</f>
        <v/>
      </c>
      <c r="V149" s="21">
        <f>IF(N149="Very Good",15%,IF(N149="Good",12%,IF(N149="Average",10%,"Not applicable")))</f>
        <v/>
      </c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</row>
    <row r="150" ht="14.25" customHeight="1" s="23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</row>
    <row r="151" ht="14.25" customHeight="1" s="23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</row>
    <row r="152" ht="14.25" customHeight="1" s="23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</row>
    <row r="153" ht="14.25" customHeight="1" s="2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</row>
    <row r="154" ht="14.25" customHeight="1" s="23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</row>
    <row r="155" ht="14.25" customHeight="1" s="23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</row>
    <row r="156" ht="14.25" customHeight="1" s="23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</row>
    <row r="157" ht="14.25" customHeight="1" s="23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</row>
    <row r="158" ht="14.25" customHeight="1" s="23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</row>
    <row r="159" ht="14.25" customHeight="1" s="23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</row>
    <row r="160" ht="14.25" customHeight="1" s="23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</row>
    <row r="161" ht="14.25" customHeight="1" s="23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</row>
    <row r="162" ht="14.25" customHeight="1" s="23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</row>
    <row r="163" ht="14.25" customHeight="1" s="2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</row>
    <row r="164" ht="14.25" customHeight="1" s="23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</row>
    <row r="165" ht="14.25" customHeight="1" s="23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</row>
    <row r="166" ht="14.25" customHeight="1" s="23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</row>
    <row r="167" ht="14.25" customHeight="1" s="23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</row>
    <row r="168" ht="14.25" customHeight="1" s="23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</row>
    <row r="169" ht="14.25" customHeight="1" s="23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</row>
    <row r="170" ht="14.25" customHeight="1" s="23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</row>
    <row r="171" ht="14.25" customHeight="1" s="23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</row>
    <row r="172" ht="14.25" customHeight="1" s="23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</row>
    <row r="173" ht="14.25" customHeight="1" s="2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</row>
    <row r="174" ht="14.25" customHeight="1" s="23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</row>
    <row r="175" ht="14.25" customHeight="1" s="23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</row>
    <row r="176" ht="14.25" customHeight="1" s="23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</row>
    <row r="177" ht="14.25" customHeight="1" s="23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</row>
    <row r="178" ht="14.25" customHeight="1" s="23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</row>
    <row r="179" ht="14.25" customHeight="1" s="23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</row>
    <row r="180" ht="14.25" customHeight="1" s="23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</row>
    <row r="181" ht="14.25" customHeight="1" s="23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</row>
    <row r="182" ht="14.25" customHeight="1" s="23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</row>
    <row r="183" ht="14.25" customHeight="1" s="2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</row>
    <row r="184" ht="14.25" customHeight="1" s="23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</row>
    <row r="185" ht="14.25" customHeight="1" s="23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</row>
    <row r="186" ht="14.25" customHeight="1" s="23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</row>
    <row r="187" ht="14.25" customHeight="1" s="23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</row>
    <row r="188" ht="14.25" customHeight="1" s="23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</row>
    <row r="189" ht="14.25" customHeight="1" s="23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</row>
    <row r="190" ht="14.25" customHeight="1" s="23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</row>
    <row r="191" ht="14.25" customHeight="1" s="23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</row>
    <row r="192" ht="14.25" customHeight="1" s="23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</row>
    <row r="193" ht="14.25" customHeight="1" s="2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</row>
    <row r="194" ht="14.25" customHeight="1" s="23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</row>
    <row r="195" ht="14.25" customHeight="1" s="23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</row>
    <row r="196" ht="14.25" customHeight="1" s="23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</row>
    <row r="197" ht="14.25" customHeight="1" s="23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</row>
    <row r="198" ht="14.25" customHeight="1" s="23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</row>
    <row r="199" ht="14.25" customHeight="1" s="23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</row>
    <row r="200" ht="14.25" customHeight="1" s="23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</row>
    <row r="201" ht="14.25" customHeight="1" s="23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</row>
    <row r="202" ht="14.25" customHeight="1" s="23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</row>
    <row r="203" ht="14.25" customHeight="1" s="2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</row>
    <row r="204" ht="14.25" customHeight="1" s="23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</row>
    <row r="205" ht="14.25" customHeight="1" s="23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</row>
    <row r="206" ht="14.25" customHeight="1" s="23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</row>
    <row r="207" ht="14.25" customHeight="1" s="23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</row>
    <row r="208" ht="14.25" customHeight="1" s="23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</row>
    <row r="209" ht="14.25" customHeight="1" s="23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</row>
    <row r="210" ht="14.25" customHeight="1" s="23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</row>
    <row r="211" ht="14.25" customHeight="1" s="23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</row>
    <row r="212" ht="14.25" customHeight="1" s="23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</row>
    <row r="213" ht="14.25" customHeight="1" s="2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</row>
    <row r="214" ht="14.25" customHeight="1" s="23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</row>
    <row r="215" ht="14.25" customHeight="1" s="23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</row>
    <row r="216" ht="14.25" customHeight="1" s="23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</row>
    <row r="217" ht="14.25" customHeight="1" s="23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</row>
    <row r="218" ht="14.25" customHeight="1" s="23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</row>
    <row r="219" ht="14.25" customHeight="1" s="23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</row>
    <row r="220" ht="14.25" customHeight="1" s="23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</row>
    <row r="221" ht="14.25" customHeight="1" s="23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</row>
    <row r="222" ht="14.25" customHeight="1" s="23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</row>
    <row r="223" ht="14.25" customHeight="1" s="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</row>
    <row r="224" ht="14.25" customHeight="1" s="23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</row>
    <row r="225" ht="14.25" customHeight="1" s="23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</row>
    <row r="226" ht="14.25" customHeight="1" s="23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</row>
    <row r="227" ht="14.25" customHeight="1" s="23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</row>
    <row r="228" ht="14.25" customHeight="1" s="23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</row>
    <row r="229" ht="14.25" customHeight="1" s="23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</row>
    <row r="230" ht="14.25" customHeight="1" s="23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</row>
    <row r="231" ht="14.25" customHeight="1" s="23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</row>
    <row r="232" ht="14.25" customHeight="1" s="23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</row>
    <row r="233" ht="14.25" customHeight="1" s="2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</row>
    <row r="234" ht="14.25" customHeight="1" s="23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</row>
    <row r="235" ht="14.25" customHeight="1" s="23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</row>
    <row r="236" ht="14.25" customHeight="1" s="23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</row>
    <row r="237" ht="14.25" customHeight="1" s="23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</row>
    <row r="238" ht="14.25" customHeight="1" s="23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</row>
    <row r="239" ht="14.25" customHeight="1" s="23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</row>
    <row r="240" ht="14.25" customHeight="1" s="23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</row>
    <row r="241" ht="14.25" customHeight="1" s="23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</row>
    <row r="242" ht="14.25" customHeight="1" s="23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</row>
    <row r="243" ht="14.25" customHeight="1" s="2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</row>
    <row r="244" ht="14.25" customHeight="1" s="23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</row>
    <row r="245" ht="14.25" customHeight="1" s="23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</row>
    <row r="246" ht="14.25" customHeight="1" s="23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</row>
    <row r="247" ht="14.25" customHeight="1" s="23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</row>
    <row r="248" ht="14.25" customHeight="1" s="23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</row>
    <row r="249" ht="14.25" customHeight="1" s="23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</row>
    <row r="250" ht="14.25" customHeight="1" s="23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</row>
    <row r="251" ht="14.25" customHeight="1" s="23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</row>
    <row r="252" ht="14.25" customHeight="1" s="23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</row>
    <row r="253" ht="14.25" customHeight="1" s="2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</row>
    <row r="254" ht="14.25" customHeight="1" s="23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</row>
    <row r="255" ht="14.25" customHeight="1" s="23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</row>
    <row r="256" ht="14.25" customHeight="1" s="23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</row>
    <row r="257" ht="14.25" customHeight="1" s="23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</row>
    <row r="258" ht="14.25" customHeight="1" s="23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</row>
    <row r="259" ht="14.25" customHeight="1" s="23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</row>
    <row r="260" ht="14.25" customHeight="1" s="23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</row>
    <row r="261" ht="14.25" customHeight="1" s="23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</row>
    <row r="262" ht="14.25" customHeight="1" s="23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</row>
    <row r="263" ht="14.25" customHeight="1" s="2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</row>
    <row r="264" ht="14.25" customHeight="1" s="23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</row>
    <row r="265" ht="14.25" customHeight="1" s="23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</row>
    <row r="266" ht="14.25" customHeight="1" s="23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</row>
    <row r="267" ht="14.25" customHeight="1" s="23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</row>
    <row r="268" ht="14.25" customHeight="1" s="23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</row>
    <row r="269" ht="14.25" customHeight="1" s="23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</row>
    <row r="270" ht="14.25" customHeight="1" s="23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</row>
    <row r="271" ht="14.25" customHeight="1" s="23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</row>
    <row r="272" ht="14.25" customHeight="1" s="23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</row>
    <row r="273" ht="14.25" customHeight="1" s="2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</row>
    <row r="274" ht="14.25" customHeight="1" s="23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</row>
    <row r="275" ht="14.25" customHeight="1" s="23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</row>
    <row r="276" ht="14.25" customHeight="1" s="23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</row>
    <row r="277" ht="14.25" customHeight="1" s="23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</row>
    <row r="278" ht="14.25" customHeight="1" s="23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</row>
    <row r="279" ht="14.25" customHeight="1" s="23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</row>
    <row r="280" ht="14.25" customHeight="1" s="23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</row>
    <row r="281" ht="14.25" customHeight="1" s="23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</row>
    <row r="282" ht="14.25" customHeight="1" s="23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</row>
    <row r="283" ht="14.25" customHeight="1" s="2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</row>
    <row r="284" ht="14.25" customHeight="1" s="23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</row>
    <row r="285" ht="14.25" customHeight="1" s="23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</row>
    <row r="286" ht="14.25" customHeight="1" s="23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</row>
    <row r="287" ht="14.25" customHeight="1" s="23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</row>
    <row r="288" ht="14.25" customHeight="1" s="23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</row>
    <row r="289" ht="14.25" customHeight="1" s="23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</row>
    <row r="290" ht="14.25" customHeight="1" s="23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</row>
    <row r="291" ht="14.25" customHeight="1" s="23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</row>
    <row r="292" ht="14.25" customHeight="1" s="23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</row>
    <row r="293" ht="14.25" customHeight="1" s="2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</row>
    <row r="294" ht="14.25" customHeight="1" s="23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</row>
    <row r="295" ht="14.25" customHeight="1" s="23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</row>
    <row r="296" ht="14.25" customHeight="1" s="23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</row>
    <row r="297" ht="14.25" customHeight="1" s="23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</row>
    <row r="298" ht="14.25" customHeight="1" s="23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</row>
    <row r="299" ht="14.25" customHeight="1" s="23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</row>
    <row r="300" ht="14.25" customHeight="1" s="23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</row>
    <row r="301" ht="14.25" customHeight="1" s="23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</row>
    <row r="302" ht="14.25" customHeight="1" s="23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</row>
    <row r="303" ht="14.25" customHeight="1" s="2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</row>
    <row r="304" ht="14.25" customHeight="1" s="23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</row>
    <row r="305" ht="14.25" customHeight="1" s="23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</row>
    <row r="306" ht="14.25" customHeight="1" s="23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</row>
    <row r="307" ht="14.25" customHeight="1" s="23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</row>
    <row r="308" ht="14.25" customHeight="1" s="23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</row>
    <row r="309" ht="14.25" customHeight="1" s="23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</row>
    <row r="310" ht="14.25" customHeight="1" s="23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</row>
    <row r="311" ht="14.25" customHeight="1" s="23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</row>
    <row r="312" ht="14.25" customHeight="1" s="23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</row>
    <row r="313" ht="14.25" customHeight="1" s="2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</row>
    <row r="314" ht="14.25" customHeight="1" s="23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</row>
    <row r="315" ht="14.25" customHeight="1" s="23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</row>
    <row r="316" ht="14.25" customHeight="1" s="23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</row>
    <row r="317" ht="14.25" customHeight="1" s="23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</row>
    <row r="318" ht="14.25" customHeight="1" s="23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</row>
    <row r="319" ht="14.25" customHeight="1" s="23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</row>
    <row r="320" ht="14.25" customHeight="1" s="23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</row>
    <row r="321" ht="14.25" customHeight="1" s="23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</row>
    <row r="322" ht="14.25" customHeight="1" s="23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</row>
    <row r="323" ht="14.25" customHeight="1" s="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</row>
    <row r="324" ht="14.25" customHeight="1" s="23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</row>
    <row r="325" ht="14.25" customHeight="1" s="23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</row>
    <row r="326" ht="14.25" customHeight="1" s="23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</row>
    <row r="327" ht="14.25" customHeight="1" s="23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</row>
    <row r="328" ht="14.25" customHeight="1" s="23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</row>
    <row r="329" ht="14.25" customHeight="1" s="23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</row>
    <row r="330" ht="14.25" customHeight="1" s="23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</row>
    <row r="331" ht="14.25" customHeight="1" s="23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</row>
    <row r="332" ht="14.25" customHeight="1" s="23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</row>
    <row r="333" ht="14.25" customHeight="1" s="2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</row>
    <row r="334" ht="14.25" customHeight="1" s="23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</row>
    <row r="335" ht="14.25" customHeight="1" s="23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</row>
    <row r="336" ht="14.25" customHeight="1" s="23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</row>
    <row r="337" ht="14.25" customHeight="1" s="23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</row>
    <row r="338" ht="14.25" customHeight="1" s="23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</row>
    <row r="339" ht="14.25" customHeight="1" s="23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</row>
    <row r="340" ht="14.25" customHeight="1" s="23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</row>
    <row r="341" ht="14.25" customHeight="1" s="23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</row>
    <row r="342" ht="14.25" customHeight="1" s="23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</row>
    <row r="343" ht="14.25" customHeight="1" s="2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</row>
    <row r="344" ht="14.25" customHeight="1" s="23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</row>
    <row r="345" ht="14.25" customHeight="1" s="23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</row>
    <row r="346" ht="14.25" customHeight="1" s="23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</row>
    <row r="347" ht="14.25" customHeight="1" s="23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</row>
    <row r="348" ht="14.25" customHeight="1" s="23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</row>
    <row r="349" ht="14.25" customHeight="1" s="23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</row>
    <row r="350" ht="14.25" customHeight="1" s="23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</row>
    <row r="351" ht="14.25" customHeight="1" s="23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</row>
    <row r="352" ht="14.25" customHeight="1" s="23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</row>
    <row r="353" ht="14.25" customHeight="1" s="2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</row>
    <row r="354" ht="14.25" customHeight="1" s="23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</row>
    <row r="355" ht="14.25" customHeight="1" s="23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</row>
    <row r="356" ht="14.25" customHeight="1" s="23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</row>
    <row r="357" ht="14.25" customHeight="1" s="23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</row>
    <row r="358" ht="14.25" customHeight="1" s="23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</row>
    <row r="359" ht="14.25" customHeight="1" s="23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</row>
    <row r="360" ht="14.25" customHeight="1" s="23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</row>
    <row r="361" ht="14.25" customHeight="1" s="23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</row>
    <row r="362" ht="14.25" customHeight="1" s="23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</row>
    <row r="363" ht="14.25" customHeight="1" s="2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</row>
    <row r="364" ht="14.25" customHeight="1" s="23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</row>
    <row r="365" ht="14.25" customHeight="1" s="23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</row>
    <row r="366" ht="14.25" customHeight="1" s="23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</row>
    <row r="367" ht="14.25" customHeight="1" s="23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</row>
    <row r="368" ht="14.25" customHeight="1" s="23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</row>
    <row r="369" ht="14.25" customHeight="1" s="23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</row>
    <row r="370" ht="14.25" customHeight="1" s="23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</row>
    <row r="371" ht="14.25" customHeight="1" s="23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</row>
    <row r="372" ht="14.25" customHeight="1" s="23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</row>
    <row r="373" ht="14.25" customHeight="1" s="2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</row>
    <row r="374" ht="14.25" customHeight="1" s="23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</row>
    <row r="375" ht="14.25" customHeight="1" s="23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</row>
    <row r="376" ht="14.25" customHeight="1" s="23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</row>
    <row r="377" ht="14.25" customHeight="1" s="23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</row>
    <row r="378" ht="14.25" customHeight="1" s="23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</row>
    <row r="379" ht="14.25" customHeight="1" s="23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</row>
    <row r="380" ht="14.25" customHeight="1" s="23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</row>
    <row r="381" ht="14.25" customHeight="1" s="23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</row>
    <row r="382" ht="14.25" customHeight="1" s="23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</row>
    <row r="383" ht="14.25" customHeight="1" s="2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</row>
    <row r="384" ht="14.25" customHeight="1" s="23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</row>
    <row r="385" ht="14.25" customHeight="1" s="23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</row>
    <row r="386" ht="14.25" customHeight="1" s="23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</row>
    <row r="387" ht="14.25" customHeight="1" s="23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</row>
    <row r="388" ht="14.25" customHeight="1" s="23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</row>
    <row r="389" ht="14.25" customHeight="1" s="23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</row>
    <row r="390" ht="14.25" customHeight="1" s="23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</row>
    <row r="391" ht="14.25" customHeight="1" s="23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</row>
    <row r="392" ht="14.25" customHeight="1" s="23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</row>
    <row r="393" ht="14.25" customHeight="1" s="2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</row>
    <row r="394" ht="14.25" customHeight="1" s="23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</row>
    <row r="395" ht="14.25" customHeight="1" s="23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</row>
    <row r="396" ht="14.25" customHeight="1" s="23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</row>
    <row r="397" ht="14.25" customHeight="1" s="23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</row>
    <row r="398" ht="14.25" customHeight="1" s="23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</row>
    <row r="399" ht="14.25" customHeight="1" s="23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</row>
    <row r="400" ht="14.25" customHeight="1" s="23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</row>
    <row r="401" ht="14.25" customHeight="1" s="23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</row>
    <row r="402" ht="14.25" customHeight="1" s="23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</row>
    <row r="403" ht="14.25" customHeight="1" s="2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</row>
    <row r="404" ht="14.25" customHeight="1" s="23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</row>
    <row r="405" ht="14.25" customHeight="1" s="23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</row>
    <row r="406" ht="14.25" customHeight="1" s="23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</row>
    <row r="407" ht="14.25" customHeight="1" s="23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</row>
    <row r="408" ht="14.25" customHeight="1" s="23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</row>
    <row r="409" ht="14.25" customHeight="1" s="23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</row>
    <row r="410" ht="14.25" customHeight="1" s="23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</row>
    <row r="411" ht="14.25" customHeight="1" s="23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</row>
    <row r="412" ht="14.25" customHeight="1" s="23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</row>
    <row r="413" ht="14.25" customHeight="1" s="2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</row>
    <row r="414" ht="14.25" customHeight="1" s="23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</row>
    <row r="415" ht="14.25" customHeight="1" s="23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</row>
    <row r="416" ht="14.25" customHeight="1" s="23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</row>
    <row r="417" ht="14.25" customHeight="1" s="23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</row>
    <row r="418" ht="14.25" customHeight="1" s="23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</row>
    <row r="419" ht="14.25" customHeight="1" s="23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</row>
    <row r="420" ht="14.25" customHeight="1" s="23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</row>
    <row r="421" ht="14.25" customHeight="1" s="23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</row>
    <row r="422" ht="14.25" customHeight="1" s="23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</row>
    <row r="423" ht="14.25" customHeight="1" s="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</row>
    <row r="424" ht="14.25" customHeight="1" s="23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</row>
    <row r="425" ht="14.25" customHeight="1" s="23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</row>
    <row r="426" ht="14.25" customHeight="1" s="23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</row>
    <row r="427" ht="14.25" customHeight="1" s="23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</row>
    <row r="428" ht="14.25" customHeight="1" s="23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</row>
    <row r="429" ht="14.25" customHeight="1" s="23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</row>
    <row r="430" ht="14.25" customHeight="1" s="23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</row>
    <row r="431" ht="14.25" customHeight="1" s="23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</row>
    <row r="432" ht="14.25" customHeight="1" s="23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</row>
    <row r="433" ht="14.25" customHeight="1" s="2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</row>
    <row r="434" ht="14.25" customHeight="1" s="23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</row>
    <row r="435" ht="14.25" customHeight="1" s="23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</row>
    <row r="436" ht="14.25" customHeight="1" s="23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</row>
    <row r="437" ht="14.25" customHeight="1" s="23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</row>
    <row r="438" ht="14.25" customHeight="1" s="23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</row>
    <row r="439" ht="14.25" customHeight="1" s="23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</row>
    <row r="440" ht="14.25" customHeight="1" s="23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</row>
    <row r="441" ht="14.25" customHeight="1" s="23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</row>
    <row r="442" ht="14.25" customHeight="1" s="23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</row>
    <row r="443" ht="14.25" customHeight="1" s="2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</row>
    <row r="444" ht="14.25" customHeight="1" s="23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</row>
    <row r="445" ht="14.25" customHeight="1" s="23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</row>
    <row r="446" ht="14.25" customHeight="1" s="23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</row>
    <row r="447" ht="14.25" customHeight="1" s="23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</row>
    <row r="448" ht="14.25" customHeight="1" s="23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</row>
    <row r="449" ht="14.25" customHeight="1" s="23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</row>
    <row r="450" ht="14.25" customHeight="1" s="23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</row>
    <row r="451" ht="14.25" customHeight="1" s="23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</row>
    <row r="452" ht="14.25" customHeight="1" s="23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</row>
    <row r="453" ht="14.25" customHeight="1" s="2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</row>
    <row r="454" ht="14.25" customHeight="1" s="23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</row>
    <row r="455" ht="14.25" customHeight="1" s="23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</row>
    <row r="456" ht="14.25" customHeight="1" s="23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</row>
    <row r="457" ht="14.25" customHeight="1" s="23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</row>
    <row r="458" ht="14.25" customHeight="1" s="23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</row>
    <row r="459" ht="14.25" customHeight="1" s="23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</row>
    <row r="460" ht="14.25" customHeight="1" s="23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</row>
    <row r="461" ht="14.25" customHeight="1" s="23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</row>
    <row r="462" ht="14.25" customHeight="1" s="23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</row>
    <row r="463" ht="14.25" customHeight="1" s="2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</row>
    <row r="464" ht="14.25" customHeight="1" s="23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</row>
    <row r="465" ht="14.25" customHeight="1" s="23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</row>
    <row r="466" ht="14.25" customHeight="1" s="23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</row>
    <row r="467" ht="14.25" customHeight="1" s="23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</row>
    <row r="468" ht="14.25" customHeight="1" s="23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</row>
    <row r="469" ht="14.25" customHeight="1" s="23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</row>
    <row r="470" ht="14.25" customHeight="1" s="23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</row>
    <row r="471" ht="14.25" customHeight="1" s="23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</row>
    <row r="472" ht="14.25" customHeight="1" s="23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</row>
    <row r="473" ht="14.25" customHeight="1" s="2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</row>
    <row r="474" ht="14.25" customHeight="1" s="23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</row>
    <row r="475" ht="14.25" customHeight="1" s="23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</row>
    <row r="476" ht="14.25" customHeight="1" s="23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</row>
    <row r="477" ht="14.25" customHeight="1" s="23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</row>
    <row r="478" ht="14.25" customHeight="1" s="23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</row>
    <row r="479" ht="14.25" customHeight="1" s="23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</row>
    <row r="480" ht="14.25" customHeight="1" s="23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</row>
    <row r="481" ht="14.25" customHeight="1" s="23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</row>
    <row r="482" ht="14.25" customHeight="1" s="23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</row>
    <row r="483" ht="14.25" customHeight="1" s="2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</row>
    <row r="484" ht="14.25" customHeight="1" s="23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</row>
    <row r="485" ht="14.25" customHeight="1" s="23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</row>
    <row r="486" ht="14.25" customHeight="1" s="23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</row>
    <row r="487" ht="14.25" customHeight="1" s="23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</row>
    <row r="488" ht="14.25" customHeight="1" s="23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</row>
    <row r="489" ht="14.25" customHeight="1" s="23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</row>
    <row r="490" ht="14.25" customHeight="1" s="23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</row>
    <row r="491" ht="14.25" customHeight="1" s="23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</row>
    <row r="492" ht="14.25" customHeight="1" s="23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</row>
    <row r="493" ht="14.25" customHeight="1" s="2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</row>
    <row r="494" ht="14.25" customHeight="1" s="23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</row>
    <row r="495" ht="14.25" customHeight="1" s="23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</row>
    <row r="496" ht="14.25" customHeight="1" s="23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</row>
    <row r="497" ht="14.25" customHeight="1" s="23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</row>
    <row r="498" ht="14.25" customHeight="1" s="23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</row>
    <row r="499" ht="14.25" customHeight="1" s="23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</row>
    <row r="500" ht="14.25" customHeight="1" s="23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</row>
    <row r="501" ht="14.25" customHeight="1" s="23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</row>
    <row r="502" ht="14.25" customHeight="1" s="23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</row>
    <row r="503" ht="14.25" customHeight="1" s="2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</row>
    <row r="504" ht="14.25" customHeight="1" s="23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</row>
    <row r="505" ht="14.25" customHeight="1" s="23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</row>
    <row r="506" ht="14.25" customHeight="1" s="23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</row>
    <row r="507" ht="14.25" customHeight="1" s="23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</row>
    <row r="508" ht="14.25" customHeight="1" s="23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</row>
    <row r="509" ht="14.25" customHeight="1" s="23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</row>
    <row r="510" ht="14.25" customHeight="1" s="23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</row>
    <row r="511" ht="14.25" customHeight="1" s="23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</row>
    <row r="512" ht="14.25" customHeight="1" s="23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</row>
    <row r="513" ht="14.25" customHeight="1" s="2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</row>
    <row r="514" ht="14.25" customHeight="1" s="23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</row>
    <row r="515" ht="14.25" customHeight="1" s="23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</row>
    <row r="516" ht="14.25" customHeight="1" s="23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</row>
    <row r="517" ht="14.25" customHeight="1" s="23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</row>
    <row r="518" ht="14.25" customHeight="1" s="23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</row>
    <row r="519" ht="14.25" customHeight="1" s="23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</row>
    <row r="520" ht="14.25" customHeight="1" s="23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</row>
    <row r="521" ht="14.25" customHeight="1" s="23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</row>
    <row r="522" ht="14.25" customHeight="1" s="23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</row>
    <row r="523" ht="14.25" customHeight="1" s="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</row>
    <row r="524" ht="14.25" customHeight="1" s="23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</row>
    <row r="525" ht="14.25" customHeight="1" s="23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</row>
    <row r="526" ht="14.25" customHeight="1" s="23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</row>
    <row r="527" ht="14.25" customHeight="1" s="23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</row>
    <row r="528" ht="14.25" customHeight="1" s="23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</row>
    <row r="529" ht="14.25" customHeight="1" s="23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</row>
    <row r="530" ht="14.25" customHeight="1" s="23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</row>
    <row r="531" ht="14.25" customHeight="1" s="23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</row>
    <row r="532" ht="14.25" customHeight="1" s="23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</row>
    <row r="533" ht="14.25" customHeight="1" s="2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</row>
    <row r="534" ht="14.25" customHeight="1" s="23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</row>
    <row r="535" ht="14.25" customHeight="1" s="23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</row>
    <row r="536" ht="14.25" customHeight="1" s="23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</row>
    <row r="537" ht="14.25" customHeight="1" s="23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</row>
    <row r="538" ht="14.25" customHeight="1" s="23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</row>
    <row r="539" ht="14.25" customHeight="1" s="23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</row>
    <row r="540" ht="14.25" customHeight="1" s="23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</row>
    <row r="541" ht="14.25" customHeight="1" s="23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</row>
    <row r="542" ht="14.25" customHeight="1" s="23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</row>
    <row r="543" ht="14.25" customHeight="1" s="2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</row>
    <row r="544" ht="14.25" customHeight="1" s="23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</row>
    <row r="545" ht="14.25" customHeight="1" s="23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</row>
    <row r="546" ht="14.25" customHeight="1" s="23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</row>
    <row r="547" ht="14.25" customHeight="1" s="23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</row>
    <row r="548" ht="14.25" customHeight="1" s="23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</row>
    <row r="549" ht="14.25" customHeight="1" s="23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</row>
    <row r="550" ht="14.25" customHeight="1" s="23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</row>
    <row r="551" ht="14.25" customHeight="1" s="23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</row>
    <row r="552" ht="14.25" customHeight="1" s="23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</row>
    <row r="553" ht="14.25" customHeight="1" s="2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</row>
    <row r="554" ht="14.25" customHeight="1" s="23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</row>
    <row r="555" ht="14.25" customHeight="1" s="23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</row>
    <row r="556" ht="14.25" customHeight="1" s="23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</row>
    <row r="557" ht="14.25" customHeight="1" s="23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</row>
    <row r="558" ht="14.25" customHeight="1" s="23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</row>
    <row r="559" ht="14.25" customHeight="1" s="23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</row>
    <row r="560" ht="14.25" customHeight="1" s="23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</row>
    <row r="561" ht="14.25" customHeight="1" s="23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</row>
    <row r="562" ht="14.25" customHeight="1" s="23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</row>
    <row r="563" ht="14.25" customHeight="1" s="2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</row>
    <row r="564" ht="14.25" customHeight="1" s="23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</row>
    <row r="565" ht="14.25" customHeight="1" s="23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</row>
    <row r="566" ht="14.25" customHeight="1" s="23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</row>
    <row r="567" ht="14.25" customHeight="1" s="23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</row>
    <row r="568" ht="14.25" customHeight="1" s="23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</row>
    <row r="569" ht="14.25" customHeight="1" s="23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</row>
    <row r="570" ht="14.25" customHeight="1" s="23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</row>
    <row r="571" ht="14.25" customHeight="1" s="23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</row>
    <row r="572" ht="14.25" customHeight="1" s="23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</row>
    <row r="573" ht="14.25" customHeight="1" s="2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</row>
    <row r="574" ht="14.25" customHeight="1" s="23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</row>
    <row r="575" ht="14.25" customHeight="1" s="23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</row>
    <row r="576" ht="14.25" customHeight="1" s="23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</row>
    <row r="577" ht="14.25" customHeight="1" s="23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</row>
    <row r="578" ht="14.25" customHeight="1" s="23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</row>
    <row r="579" ht="14.25" customHeight="1" s="23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</row>
    <row r="580" ht="14.25" customHeight="1" s="23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</row>
    <row r="581" ht="14.25" customHeight="1" s="23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</row>
    <row r="582" ht="14.25" customHeight="1" s="23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</row>
    <row r="583" ht="14.25" customHeight="1" s="2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</row>
    <row r="584" ht="14.25" customHeight="1" s="23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</row>
    <row r="585" ht="14.25" customHeight="1" s="23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</row>
    <row r="586" ht="14.25" customHeight="1" s="23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</row>
    <row r="587" ht="14.25" customHeight="1" s="23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</row>
    <row r="588" ht="14.25" customHeight="1" s="23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</row>
    <row r="589" ht="14.25" customHeight="1" s="23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</row>
    <row r="590" ht="14.25" customHeight="1" s="23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</row>
    <row r="591" ht="14.25" customHeight="1" s="23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</row>
    <row r="592" ht="14.25" customHeight="1" s="23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</row>
    <row r="593" ht="14.25" customHeight="1" s="2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</row>
    <row r="594" ht="14.25" customHeight="1" s="23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</row>
    <row r="595" ht="14.25" customHeight="1" s="23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</row>
    <row r="596" ht="14.25" customHeight="1" s="23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</row>
    <row r="597" ht="14.25" customHeight="1" s="23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</row>
    <row r="598" ht="14.25" customHeight="1" s="23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</row>
    <row r="599" ht="14.25" customHeight="1" s="23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</row>
    <row r="600" ht="14.25" customHeight="1" s="23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</row>
    <row r="601" ht="14.25" customHeight="1" s="23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</row>
    <row r="602" ht="14.25" customHeight="1" s="23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</row>
    <row r="603" ht="14.25" customHeight="1" s="2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</row>
    <row r="604" ht="14.25" customHeight="1" s="23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</row>
    <row r="605" ht="14.25" customHeight="1" s="23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</row>
    <row r="606" ht="14.25" customHeight="1" s="23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</row>
    <row r="607" ht="14.25" customHeight="1" s="23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</row>
    <row r="608" ht="14.25" customHeight="1" s="23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</row>
    <row r="609" ht="14.25" customHeight="1" s="23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</row>
    <row r="610" ht="14.25" customHeight="1" s="23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</row>
    <row r="611" ht="14.25" customHeight="1" s="23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</row>
    <row r="612" ht="14.25" customHeight="1" s="23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</row>
    <row r="613" ht="14.25" customHeight="1" s="2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</row>
    <row r="614" ht="14.25" customHeight="1" s="23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</row>
    <row r="615" ht="14.25" customHeight="1" s="23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</row>
    <row r="616" ht="14.25" customHeight="1" s="23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</row>
    <row r="617" ht="14.25" customHeight="1" s="23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</row>
    <row r="618" ht="14.25" customHeight="1" s="23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</row>
    <row r="619" ht="14.25" customHeight="1" s="23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</row>
    <row r="620" ht="14.25" customHeight="1" s="23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</row>
    <row r="621" ht="14.25" customHeight="1" s="23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</row>
    <row r="622" ht="14.25" customHeight="1" s="23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</row>
    <row r="623" ht="14.25" customHeight="1" s="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</row>
    <row r="624" ht="14.25" customHeight="1" s="23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</row>
    <row r="625" ht="14.25" customHeight="1" s="23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</row>
    <row r="626" ht="14.25" customHeight="1" s="23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</row>
    <row r="627" ht="14.25" customHeight="1" s="23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</row>
    <row r="628" ht="14.25" customHeight="1" s="23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</row>
    <row r="629" ht="14.25" customHeight="1" s="23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</row>
    <row r="630" ht="14.25" customHeight="1" s="23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</row>
    <row r="631" ht="14.25" customHeight="1" s="23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</row>
    <row r="632" ht="14.25" customHeight="1" s="23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</row>
    <row r="633" ht="14.25" customHeight="1" s="2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</row>
    <row r="634" ht="14.25" customHeight="1" s="23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</row>
    <row r="635" ht="14.25" customHeight="1" s="23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</row>
    <row r="636" ht="14.25" customHeight="1" s="23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</row>
    <row r="637" ht="14.25" customHeight="1" s="23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</row>
    <row r="638" ht="14.25" customHeight="1" s="23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</row>
    <row r="639" ht="14.25" customHeight="1" s="23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</row>
    <row r="640" ht="14.25" customHeight="1" s="23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</row>
    <row r="641" ht="14.25" customHeight="1" s="23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</row>
    <row r="642" ht="14.25" customHeight="1" s="23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</row>
    <row r="643" ht="14.25" customHeight="1" s="2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</row>
    <row r="644" ht="14.25" customHeight="1" s="23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</row>
    <row r="645" ht="14.25" customHeight="1" s="23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</row>
    <row r="646" ht="14.25" customHeight="1" s="23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</row>
    <row r="647" ht="14.25" customHeight="1" s="23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</row>
    <row r="648" ht="14.25" customHeight="1" s="23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</row>
    <row r="649" ht="14.25" customHeight="1" s="23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</row>
    <row r="650" ht="14.25" customHeight="1" s="23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</row>
    <row r="651" ht="14.25" customHeight="1" s="23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</row>
    <row r="652" ht="14.25" customHeight="1" s="23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</row>
    <row r="653" ht="14.25" customHeight="1" s="2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</row>
    <row r="654" ht="14.25" customHeight="1" s="23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</row>
    <row r="655" ht="14.25" customHeight="1" s="23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</row>
    <row r="656" ht="14.25" customHeight="1" s="23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</row>
    <row r="657" ht="14.25" customHeight="1" s="23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</row>
    <row r="658" ht="14.25" customHeight="1" s="23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</row>
    <row r="659" ht="14.25" customHeight="1" s="23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</row>
    <row r="660" ht="14.25" customHeight="1" s="23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</row>
    <row r="661" ht="14.25" customHeight="1" s="23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</row>
    <row r="662" ht="14.25" customHeight="1" s="23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</row>
    <row r="663" ht="14.25" customHeight="1" s="2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</row>
    <row r="664" ht="14.25" customHeight="1" s="23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</row>
    <row r="665" ht="14.25" customHeight="1" s="23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</row>
    <row r="666" ht="14.25" customHeight="1" s="23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</row>
    <row r="667" ht="14.25" customHeight="1" s="23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</row>
    <row r="668" ht="14.25" customHeight="1" s="23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</row>
    <row r="669" ht="14.25" customHeight="1" s="23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</row>
    <row r="670" ht="14.25" customHeight="1" s="23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</row>
    <row r="671" ht="14.25" customHeight="1" s="23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</row>
    <row r="672" ht="14.25" customHeight="1" s="23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</row>
    <row r="673" ht="14.25" customHeight="1" s="2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</row>
    <row r="674" ht="14.25" customHeight="1" s="23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</row>
    <row r="675" ht="14.25" customHeight="1" s="23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</row>
    <row r="676" ht="14.25" customHeight="1" s="23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</row>
    <row r="677" ht="14.25" customHeight="1" s="23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</row>
    <row r="678" ht="14.25" customHeight="1" s="23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</row>
    <row r="679" ht="14.25" customHeight="1" s="23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</row>
    <row r="680" ht="14.25" customHeight="1" s="23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</row>
    <row r="681" ht="14.25" customHeight="1" s="23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</row>
    <row r="682" ht="14.25" customHeight="1" s="23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</row>
    <row r="683" ht="14.25" customHeight="1" s="2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</row>
    <row r="684" ht="14.25" customHeight="1" s="23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</row>
    <row r="685" ht="14.25" customHeight="1" s="23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</row>
    <row r="686" ht="14.25" customHeight="1" s="23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</row>
    <row r="687" ht="14.25" customHeight="1" s="23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</row>
    <row r="688" ht="14.25" customHeight="1" s="23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</row>
    <row r="689" ht="14.25" customHeight="1" s="23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</row>
    <row r="690" ht="14.25" customHeight="1" s="23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</row>
    <row r="691" ht="14.25" customHeight="1" s="23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</row>
    <row r="692" ht="14.25" customHeight="1" s="23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</row>
    <row r="693" ht="14.25" customHeight="1" s="2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</row>
    <row r="694" ht="14.25" customHeight="1" s="23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</row>
    <row r="695" ht="14.25" customHeight="1" s="23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</row>
    <row r="696" ht="14.25" customHeight="1" s="23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</row>
    <row r="697" ht="14.25" customHeight="1" s="23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</row>
    <row r="698" ht="14.25" customHeight="1" s="23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</row>
    <row r="699" ht="14.25" customHeight="1" s="23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</row>
    <row r="700" ht="14.25" customHeight="1" s="23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</row>
    <row r="701" ht="14.25" customHeight="1" s="23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</row>
    <row r="702" ht="14.25" customHeight="1" s="23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</row>
    <row r="703" ht="14.25" customHeight="1" s="2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</row>
    <row r="704" ht="14.25" customHeight="1" s="23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</row>
    <row r="705" ht="14.25" customHeight="1" s="23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</row>
    <row r="706" ht="14.25" customHeight="1" s="23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</row>
    <row r="707" ht="14.25" customHeight="1" s="23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</row>
    <row r="708" ht="14.25" customHeight="1" s="23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</row>
    <row r="709" ht="14.25" customHeight="1" s="23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</row>
    <row r="710" ht="14.25" customHeight="1" s="23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</row>
    <row r="711" ht="14.25" customHeight="1" s="23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</row>
    <row r="712" ht="14.25" customHeight="1" s="23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</row>
    <row r="713" ht="14.25" customHeight="1" s="2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</row>
    <row r="714" ht="14.25" customHeight="1" s="23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</row>
    <row r="715" ht="14.25" customHeight="1" s="23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</row>
    <row r="716" ht="14.25" customHeight="1" s="23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</row>
    <row r="717" ht="14.25" customHeight="1" s="23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</row>
    <row r="718" ht="14.25" customHeight="1" s="23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</row>
    <row r="719" ht="14.25" customHeight="1" s="23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</row>
    <row r="720" ht="14.25" customHeight="1" s="23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</row>
    <row r="721" ht="14.25" customHeight="1" s="23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</row>
    <row r="722" ht="14.25" customHeight="1" s="23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</row>
    <row r="723" ht="14.25" customHeight="1" s="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</row>
    <row r="724" ht="14.25" customHeight="1" s="23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</row>
    <row r="725" ht="14.25" customHeight="1" s="23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</row>
    <row r="726" ht="14.25" customHeight="1" s="23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</row>
    <row r="727" ht="14.25" customHeight="1" s="23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</row>
    <row r="728" ht="14.25" customHeight="1" s="23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</row>
    <row r="729" ht="14.25" customHeight="1" s="23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</row>
    <row r="730" ht="14.25" customHeight="1" s="23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</row>
    <row r="731" ht="14.25" customHeight="1" s="23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</row>
    <row r="732" ht="14.25" customHeight="1" s="23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</row>
    <row r="733" ht="14.25" customHeight="1" s="2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</row>
    <row r="734" ht="14.25" customHeight="1" s="23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</row>
    <row r="735" ht="14.25" customHeight="1" s="23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</row>
    <row r="736" ht="14.25" customHeight="1" s="23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</row>
    <row r="737" ht="14.25" customHeight="1" s="23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</row>
    <row r="738" ht="14.25" customHeight="1" s="23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</row>
    <row r="739" ht="14.25" customHeight="1" s="23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</row>
    <row r="740" ht="14.25" customHeight="1" s="23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</row>
    <row r="741" ht="14.25" customHeight="1" s="23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</row>
    <row r="742" ht="14.25" customHeight="1" s="23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</row>
    <row r="743" ht="14.25" customHeight="1" s="2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</row>
    <row r="744" ht="14.25" customHeight="1" s="23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</row>
    <row r="745" ht="14.25" customHeight="1" s="23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</row>
    <row r="746" ht="14.25" customHeight="1" s="23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</row>
    <row r="747" ht="14.25" customHeight="1" s="23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</row>
    <row r="748" ht="14.25" customHeight="1" s="23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</row>
    <row r="749" ht="14.25" customHeight="1" s="23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</row>
    <row r="750" ht="14.25" customHeight="1" s="23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</row>
    <row r="751" ht="14.25" customHeight="1" s="23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</row>
    <row r="752" ht="14.25" customHeight="1" s="23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</row>
    <row r="753" ht="14.25" customHeight="1" s="2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</row>
    <row r="754" ht="14.25" customHeight="1" s="23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</row>
    <row r="755" ht="14.25" customHeight="1" s="23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</row>
    <row r="756" ht="14.25" customHeight="1" s="23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</row>
    <row r="757" ht="14.25" customHeight="1" s="23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</row>
    <row r="758" ht="14.25" customHeight="1" s="23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</row>
    <row r="759" ht="14.25" customHeight="1" s="23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</row>
    <row r="760" ht="14.25" customHeight="1" s="23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</row>
    <row r="761" ht="14.25" customHeight="1" s="23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</row>
    <row r="762" ht="14.25" customHeight="1" s="23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</row>
    <row r="763" ht="14.25" customHeight="1" s="2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</row>
    <row r="764" ht="14.25" customHeight="1" s="23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</row>
    <row r="765" ht="14.25" customHeight="1" s="23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</row>
    <row r="766" ht="14.25" customHeight="1" s="23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</row>
    <row r="767" ht="14.25" customHeight="1" s="23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</row>
    <row r="768" ht="14.25" customHeight="1" s="23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</row>
    <row r="769" ht="14.25" customHeight="1" s="23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</row>
    <row r="770" ht="14.25" customHeight="1" s="23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</row>
    <row r="771" ht="14.25" customHeight="1" s="23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</row>
    <row r="772" ht="14.25" customHeight="1" s="23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</row>
    <row r="773" ht="14.25" customHeight="1" s="2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</row>
    <row r="774" ht="14.25" customHeight="1" s="23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</row>
    <row r="775" ht="14.25" customHeight="1" s="23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</row>
    <row r="776" ht="14.25" customHeight="1" s="23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</row>
    <row r="777" ht="14.25" customHeight="1" s="23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</row>
    <row r="778" ht="14.25" customHeight="1" s="23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</row>
    <row r="779" ht="14.25" customHeight="1" s="23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</row>
    <row r="780" ht="14.25" customHeight="1" s="23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</row>
    <row r="781" ht="14.25" customHeight="1" s="23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</row>
    <row r="782" ht="14.25" customHeight="1" s="23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</row>
    <row r="783" ht="14.25" customHeight="1" s="2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</row>
    <row r="784" ht="14.25" customHeight="1" s="23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</row>
    <row r="785" ht="14.25" customHeight="1" s="23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</row>
    <row r="786" ht="14.25" customHeight="1" s="23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</row>
    <row r="787" ht="14.25" customHeight="1" s="23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</row>
    <row r="788" ht="14.25" customHeight="1" s="23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</row>
    <row r="789" ht="14.25" customHeight="1" s="23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</row>
    <row r="790" ht="14.25" customHeight="1" s="23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</row>
    <row r="791" ht="14.25" customHeight="1" s="23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</row>
    <row r="792" ht="14.25" customHeight="1" s="23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</row>
    <row r="793" ht="14.25" customHeight="1" s="2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</row>
    <row r="794" ht="14.25" customHeight="1" s="23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</row>
    <row r="795" ht="14.25" customHeight="1" s="23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</row>
    <row r="796" ht="14.25" customHeight="1" s="23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</row>
    <row r="797" ht="14.25" customHeight="1" s="23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</row>
    <row r="798" ht="14.25" customHeight="1" s="23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</row>
    <row r="799" ht="14.25" customHeight="1" s="23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</row>
    <row r="800" ht="14.25" customHeight="1" s="23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</row>
    <row r="801" ht="14.25" customHeight="1" s="23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</row>
    <row r="802" ht="14.25" customHeight="1" s="23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</row>
    <row r="803" ht="14.25" customHeight="1" s="2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</row>
    <row r="804" ht="14.25" customHeight="1" s="23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</row>
    <row r="805" ht="14.25" customHeight="1" s="23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</row>
    <row r="806" ht="14.25" customHeight="1" s="23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</row>
    <row r="807" ht="14.25" customHeight="1" s="23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</row>
    <row r="808" ht="14.25" customHeight="1" s="23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</row>
    <row r="809" ht="14.25" customHeight="1" s="23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</row>
    <row r="810" ht="14.25" customHeight="1" s="23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</row>
    <row r="811" ht="14.25" customHeight="1" s="23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</row>
    <row r="812" ht="14.25" customHeight="1" s="23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</row>
    <row r="813" ht="14.25" customHeight="1" s="2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</row>
    <row r="814" ht="14.25" customHeight="1" s="23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</row>
    <row r="815" ht="14.25" customHeight="1" s="23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</row>
    <row r="816" ht="14.25" customHeight="1" s="23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</row>
    <row r="817" ht="14.25" customHeight="1" s="23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</row>
    <row r="818" ht="14.25" customHeight="1" s="23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</row>
    <row r="819" ht="14.25" customHeight="1" s="23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</row>
    <row r="820" ht="14.25" customHeight="1" s="23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</row>
    <row r="821" ht="14.25" customHeight="1" s="23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</row>
    <row r="822" ht="14.25" customHeight="1" s="23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</row>
    <row r="823" ht="14.25" customHeight="1" s="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</row>
    <row r="824" ht="14.25" customHeight="1" s="23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</row>
    <row r="825" ht="14.25" customHeight="1" s="23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</row>
    <row r="826" ht="14.25" customHeight="1" s="23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</row>
    <row r="827" ht="14.25" customHeight="1" s="23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</row>
    <row r="828" ht="14.25" customHeight="1" s="23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</row>
    <row r="829" ht="14.25" customHeight="1" s="23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</row>
    <row r="830" ht="14.25" customHeight="1" s="23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</row>
    <row r="831" ht="14.25" customHeight="1" s="23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</row>
    <row r="832" ht="14.25" customHeight="1" s="23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</row>
    <row r="833" ht="14.25" customHeight="1" s="2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</row>
    <row r="834" ht="14.25" customHeight="1" s="23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</row>
    <row r="835" ht="14.25" customHeight="1" s="23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</row>
    <row r="836" ht="14.25" customHeight="1" s="23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</row>
    <row r="837" ht="14.25" customHeight="1" s="23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</row>
    <row r="838" ht="14.25" customHeight="1" s="23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</row>
    <row r="839" ht="14.25" customHeight="1" s="23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</row>
    <row r="840" ht="14.25" customHeight="1" s="23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</row>
    <row r="841" ht="14.25" customHeight="1" s="23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</row>
    <row r="842" ht="14.25" customHeight="1" s="23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</row>
    <row r="843" ht="14.25" customHeight="1" s="2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</row>
    <row r="844" ht="14.25" customHeight="1" s="23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</row>
    <row r="845" ht="14.25" customHeight="1" s="23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</row>
    <row r="846" ht="14.25" customHeight="1" s="23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</row>
    <row r="847" ht="14.25" customHeight="1" s="23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</row>
    <row r="848" ht="14.25" customHeight="1" s="23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</row>
    <row r="849" ht="14.25" customHeight="1" s="23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</row>
    <row r="850" ht="14.25" customHeight="1" s="23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</row>
    <row r="851" ht="14.25" customHeight="1" s="23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</row>
    <row r="852" ht="14.25" customHeight="1" s="23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</row>
    <row r="853" ht="14.25" customHeight="1" s="2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</row>
    <row r="854" ht="14.25" customHeight="1" s="23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</row>
    <row r="855" ht="14.25" customHeight="1" s="23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</row>
    <row r="856" ht="14.25" customHeight="1" s="23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</row>
    <row r="857" ht="14.25" customHeight="1" s="23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</row>
    <row r="858" ht="14.25" customHeight="1" s="23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</row>
    <row r="859" ht="14.25" customHeight="1" s="23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</row>
    <row r="860" ht="14.25" customHeight="1" s="23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</row>
    <row r="861" ht="14.25" customHeight="1" s="23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</row>
    <row r="862" ht="14.25" customHeight="1" s="23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</row>
    <row r="863" ht="14.25" customHeight="1" s="2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</row>
    <row r="864" ht="14.25" customHeight="1" s="23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</row>
    <row r="865" ht="14.25" customHeight="1" s="23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</row>
    <row r="866" ht="14.25" customHeight="1" s="23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</row>
    <row r="867" ht="14.25" customHeight="1" s="23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</row>
    <row r="868" ht="14.25" customHeight="1" s="23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</row>
    <row r="869" ht="14.25" customHeight="1" s="23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</row>
    <row r="870" ht="14.25" customHeight="1" s="23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</row>
    <row r="871" ht="14.25" customHeight="1" s="23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</row>
    <row r="872" ht="14.25" customHeight="1" s="23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</row>
    <row r="873" ht="14.25" customHeight="1" s="2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</row>
    <row r="874" ht="14.25" customHeight="1" s="23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</row>
    <row r="875" ht="14.25" customHeight="1" s="23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</row>
    <row r="876" ht="14.25" customHeight="1" s="23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</row>
    <row r="877" ht="14.25" customHeight="1" s="23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</row>
    <row r="878" ht="14.25" customHeight="1" s="23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</row>
    <row r="879" ht="14.25" customHeight="1" s="23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</row>
    <row r="880" ht="14.25" customHeight="1" s="23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</row>
    <row r="881" ht="14.25" customHeight="1" s="23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</row>
    <row r="882" ht="14.25" customHeight="1" s="23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</row>
    <row r="883" ht="14.25" customHeight="1" s="2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</row>
    <row r="884" ht="14.25" customHeight="1" s="23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</row>
    <row r="885" ht="14.25" customHeight="1" s="23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</row>
    <row r="886" ht="14.25" customHeight="1" s="23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</row>
    <row r="887" ht="14.25" customHeight="1" s="23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</row>
    <row r="888" ht="14.25" customHeight="1" s="23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</row>
    <row r="889" ht="14.25" customHeight="1" s="23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</row>
    <row r="890" ht="14.25" customHeight="1" s="23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</row>
    <row r="891" ht="14.25" customHeight="1" s="23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</row>
    <row r="892" ht="14.25" customHeight="1" s="23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</row>
    <row r="893" ht="14.25" customHeight="1" s="2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</row>
    <row r="894" ht="14.25" customHeight="1" s="23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</row>
    <row r="895" ht="14.25" customHeight="1" s="23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</row>
    <row r="896" ht="14.25" customHeight="1" s="23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</row>
    <row r="897" ht="14.25" customHeight="1" s="23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</row>
    <row r="898" ht="14.25" customHeight="1" s="23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</row>
    <row r="899" ht="14.25" customHeight="1" s="23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</row>
    <row r="900" ht="14.25" customHeight="1" s="23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</row>
    <row r="901" ht="14.25" customHeight="1" s="23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</row>
    <row r="902" ht="14.25" customHeight="1" s="23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</row>
    <row r="903" ht="14.25" customHeight="1" s="2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</row>
    <row r="904" ht="14.25" customHeight="1" s="23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</row>
    <row r="905" ht="14.25" customHeight="1" s="23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</row>
    <row r="906" ht="14.25" customHeight="1" s="23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</row>
    <row r="907" ht="14.25" customHeight="1" s="23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</row>
    <row r="908" ht="14.25" customHeight="1" s="23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</row>
    <row r="909" ht="14.25" customHeight="1" s="23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</row>
    <row r="910" ht="14.25" customHeight="1" s="23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</row>
    <row r="911" ht="14.25" customHeight="1" s="23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</row>
    <row r="912" ht="14.25" customHeight="1" s="23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</row>
    <row r="913" ht="14.25" customHeight="1" s="2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</row>
    <row r="914" ht="14.25" customHeight="1" s="23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</row>
    <row r="915" ht="14.25" customHeight="1" s="23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</row>
    <row r="916" ht="14.25" customHeight="1" s="23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</row>
    <row r="917" ht="14.25" customHeight="1" s="23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</row>
    <row r="918" ht="14.25" customHeight="1" s="23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</row>
    <row r="919" ht="14.25" customHeight="1" s="23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</row>
    <row r="920" ht="14.25" customHeight="1" s="23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</row>
    <row r="921" ht="14.25" customHeight="1" s="23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</row>
    <row r="922" ht="14.25" customHeight="1" s="23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</row>
    <row r="923" ht="14.25" customHeight="1" s="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</row>
    <row r="924" ht="14.25" customHeight="1" s="23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</row>
    <row r="925" ht="14.25" customHeight="1" s="23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</row>
    <row r="926" ht="14.25" customHeight="1" s="23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</row>
    <row r="927" ht="14.25" customHeight="1" s="23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</row>
    <row r="928" ht="14.25" customHeight="1" s="23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</row>
    <row r="929" ht="14.25" customHeight="1" s="23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</row>
    <row r="930" ht="14.25" customHeight="1" s="23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</row>
    <row r="931" ht="14.25" customHeight="1" s="23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</row>
    <row r="932" ht="14.25" customHeight="1" s="23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</row>
    <row r="933" ht="14.25" customHeight="1" s="2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</row>
    <row r="934" ht="14.25" customHeight="1" s="23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</row>
    <row r="935" ht="14.25" customHeight="1" s="23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</row>
    <row r="936" ht="14.25" customHeight="1" s="23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</row>
    <row r="937" ht="14.25" customHeight="1" s="23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</row>
    <row r="938" ht="14.25" customHeight="1" s="23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</row>
    <row r="939" ht="14.25" customHeight="1" s="23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</row>
    <row r="940" ht="14.25" customHeight="1" s="23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</row>
    <row r="941" ht="14.25" customHeight="1" s="23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</row>
    <row r="942" ht="14.25" customHeight="1" s="23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</row>
    <row r="943" ht="14.25" customHeight="1" s="2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</row>
    <row r="944" ht="14.25" customHeight="1" s="23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</row>
    <row r="945" ht="14.25" customHeight="1" s="23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</row>
    <row r="946" ht="14.25" customHeight="1" s="23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</row>
    <row r="947" ht="14.25" customHeight="1" s="23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</row>
    <row r="948" ht="14.25" customHeight="1" s="23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</row>
    <row r="949" ht="14.25" customHeight="1" s="23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</row>
    <row r="950" ht="14.25" customHeight="1" s="23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</row>
    <row r="951" ht="14.25" customHeight="1" s="23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</row>
    <row r="952" ht="14.25" customHeight="1" s="23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</row>
    <row r="953" ht="14.25" customHeight="1" s="2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</row>
    <row r="954" ht="14.25" customHeight="1" s="23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</row>
    <row r="955" ht="14.25" customHeight="1" s="23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</row>
    <row r="956" ht="14.25" customHeight="1" s="23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</row>
    <row r="957" ht="14.25" customHeight="1" s="23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</row>
    <row r="958" ht="14.25" customHeight="1" s="23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</row>
    <row r="959" ht="14.25" customHeight="1" s="23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</row>
    <row r="960" ht="14.25" customHeight="1" s="23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</row>
    <row r="961" ht="14.25" customHeight="1" s="23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</row>
    <row r="962" ht="14.25" customHeight="1" s="23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</row>
    <row r="963" ht="14.25" customHeight="1" s="2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</row>
    <row r="964" ht="14.25" customHeight="1" s="23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</row>
    <row r="965" ht="14.25" customHeight="1" s="23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</row>
    <row r="966" ht="14.25" customHeight="1" s="23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</row>
    <row r="967" ht="14.25" customHeight="1" s="23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</row>
    <row r="968" ht="14.25" customHeight="1" s="23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</row>
    <row r="969" ht="14.25" customHeight="1" s="23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</row>
    <row r="970" ht="14.25" customHeight="1" s="23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</row>
    <row r="971" ht="14.25" customHeight="1" s="23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</row>
    <row r="972" ht="14.25" customHeight="1" s="23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</row>
    <row r="973" ht="14.25" customHeight="1" s="2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</row>
    <row r="974" ht="14.25" customHeight="1" s="23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</row>
    <row r="975" ht="14.25" customHeight="1" s="23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</row>
    <row r="976" ht="14.25" customHeight="1" s="23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</row>
    <row r="977" ht="14.25" customHeight="1" s="23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</row>
    <row r="978" ht="14.25" customHeight="1" s="23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</row>
    <row r="979" ht="14.25" customHeight="1" s="23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</row>
    <row r="980" ht="14.25" customHeight="1" s="23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</row>
    <row r="981" ht="14.25" customHeight="1" s="23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</row>
    <row r="982" ht="14.25" customHeight="1" s="23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</row>
    <row r="983" ht="14.25" customHeight="1" s="2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</row>
    <row r="984" ht="14.25" customHeight="1" s="23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</row>
    <row r="985" ht="14.25" customHeight="1" s="23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</row>
    <row r="986" ht="14.25" customHeight="1" s="23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</row>
    <row r="987" ht="14.25" customHeight="1" s="23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</row>
    <row r="988" ht="14.25" customHeight="1" s="23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</row>
    <row r="989" ht="14.25" customHeight="1" s="23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</row>
    <row r="990" ht="14.25" customHeight="1" s="23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</row>
    <row r="991" ht="14.25" customHeight="1" s="23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</row>
    <row r="992" ht="14.25" customHeight="1" s="23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</row>
    <row r="993" ht="14.25" customHeight="1" s="2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</row>
    <row r="994" ht="14.25" customHeight="1" s="23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</row>
    <row r="995" ht="14.25" customHeight="1" s="23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</row>
    <row r="996" ht="14.25" customHeight="1" s="23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</row>
    <row r="997" ht="14.25" customHeight="1" s="23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</row>
    <row r="998" ht="14.25" customHeight="1" s="23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</row>
    <row r="999" ht="14.25" customHeight="1" s="23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</row>
    <row r="1000" ht="14.25" customHeight="1" s="23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</row>
  </sheetData>
  <autoFilter ref="A3:V149"/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Jayshree Tawari</dc:creator>
  <dcterms:created xmlns:dcterms="http://purl.org/dc/terms/" xmlns:xsi="http://www.w3.org/2001/XMLSchema-instance" xsi:type="dcterms:W3CDTF">2021-07-08T13:51:18Z</dcterms:created>
  <dcterms:modified xmlns:dcterms="http://purl.org/dc/terms/" xmlns:xsi="http://www.w3.org/2001/XMLSchema-instance" xsi:type="dcterms:W3CDTF">2026-10-07T03:43:40Z</dcterms:modified>
  <cp:lastModifiedBy>com</cp:lastModifiedBy>
</cp:coreProperties>
</file>