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575" tabRatio="600" firstSheet="0" activeTab="0" autoFilterDateGrouping="1"/>
  </bookViews>
  <sheets>
    <sheet xmlns:r="http://schemas.openxmlformats.org/officeDocument/2006/relationships" name="Problem_Statement-1" sheetId="1" state="visible" r:id="rId1"/>
    <sheet xmlns:r="http://schemas.openxmlformats.org/officeDocument/2006/relationships" name="Problem_Statement-2" sheetId="2" state="visible" r:id="rId2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&quot;₹&quot;\ #,##0;[Red]&quot;₹&quot;\ \-#,##0"/>
    <numFmt numFmtId="165" formatCode="_ &quot;₹&quot;\ * #,##0_ ;_ &quot;₹&quot;\ * \-#,##0_ ;_ &quot;₹&quot;\ * &quot;-&quot;??_ ;_ @_ "/>
    <numFmt numFmtId="166" formatCode="&quot;₹&quot;\ #,##0.00000;[Red]&quot;₹&quot;\ \-#,##0.00000"/>
    <numFmt numFmtId="167" formatCode="_ * #,##0_ ;_ * \-#,##0_ ;_ * &quot;-&quot;??_ ;_ @_ "/>
  </numFmts>
  <fonts count="7">
    <font>
      <name val="Calibri"/>
      <color theme="1"/>
      <sz val="11"/>
      <scheme val="minor"/>
    </font>
    <font>
      <name val="Open Sans"/>
      <b val="1"/>
      <color theme="0"/>
      <sz val="10"/>
    </font>
    <font>
      <name val="Open Sans"/>
      <color theme="1"/>
      <sz val="10"/>
    </font>
    <font>
      <name val="Open Sans"/>
      <b val="1"/>
      <color theme="1"/>
      <sz val="14"/>
    </font>
    <font>
      <name val="Open Sans"/>
      <color theme="0"/>
      <sz val="9"/>
    </font>
    <font>
      <name val="Open Sans"/>
      <color theme="1"/>
      <sz val="9"/>
    </font>
    <font>
      <name val="Open Sans"/>
      <b val="1"/>
      <color theme="1"/>
      <sz val="9"/>
    </font>
  </fonts>
  <fills count="7">
    <fill>
      <patternFill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002060"/>
        <bgColor rgb="FF00206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48135"/>
      </left>
      <right style="medium">
        <color rgb="FF548135"/>
      </right>
      <top style="medium">
        <color rgb="FF548135"/>
      </top>
      <bottom style="medium">
        <color rgb="FF548135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164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15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9" fontId="2" fillId="0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9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0" fontId="2" fillId="5" borderId="2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164" fontId="2" fillId="3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166" fontId="2" fillId="3" borderId="2" applyAlignment="1" pivotButton="0" quotePrefix="0" xfId="0">
      <alignment horizontal="left" vertical="center"/>
    </xf>
    <xf numFmtId="164" fontId="2" fillId="0" borderId="2" applyAlignment="1" pivotButton="0" quotePrefix="0" xfId="0">
      <alignment horizontal="left" vertical="center"/>
    </xf>
    <xf numFmtId="9" fontId="2" fillId="3" borderId="2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7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15" fontId="5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0" borderId="0" pivotButton="0" quotePrefix="0" xfId="0"/>
    <xf numFmtId="164" fontId="1" fillId="2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4" fontId="2" fillId="3" borderId="2" applyAlignment="1" pivotButton="0" quotePrefix="0" xfId="0">
      <alignment horizontal="left" vertical="center"/>
    </xf>
    <xf numFmtId="1" fontId="2" fillId="0" borderId="2" applyAlignment="1" pivotButton="0" quotePrefix="0" xfId="0">
      <alignment horizontal="left" vertical="center"/>
    </xf>
    <xf numFmtId="10" fontId="2" fillId="3" borderId="2" applyAlignment="1" pivotButton="0" quotePrefix="0" xfId="0">
      <alignment horizontal="left" vertical="center"/>
    </xf>
    <xf numFmtId="10" fontId="2" fillId="0" borderId="0" applyAlignment="1" pivotButton="0" quotePrefix="0" xfId="0">
      <alignment horizontal="left" vertical="center"/>
    </xf>
    <xf numFmtId="1" fontId="2" fillId="3" borderId="2" applyAlignment="1" pivotButton="0" quotePrefix="0" xfId="0">
      <alignment horizontal="left" vertical="center"/>
    </xf>
    <xf numFmtId="4" fontId="5" fillId="0" borderId="1" applyAlignment="1" pivotButton="0" quotePrefix="0" xfId="0">
      <alignment horizontal="left" vertical="center"/>
    </xf>
    <xf numFmtId="167" fontId="5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S38" sqref="S38"/>
    </sheetView>
  </sheetViews>
  <sheetFormatPr baseColWidth="8" defaultColWidth="14.42578125" defaultRowHeight="15" customHeight="1"/>
  <cols>
    <col width="10.42578125" customWidth="1" style="27" min="1" max="1"/>
    <col width="16.28515625" customWidth="1" style="27" min="2" max="2"/>
    <col width="36.28515625" customWidth="1" style="27" min="3" max="3"/>
    <col width="12" customWidth="1" style="27" min="4" max="4"/>
    <col width="13.85546875" customWidth="1" style="27" min="5" max="5"/>
    <col width="20" customWidth="1" style="27" min="6" max="6"/>
    <col width="9.7109375" customWidth="1" style="27" min="7" max="7"/>
    <col width="4.5703125" customWidth="1" style="27" min="8" max="8"/>
    <col width="6.5703125" customWidth="1" style="27" min="9" max="9"/>
    <col width="9.5703125" customWidth="1" style="27" min="10" max="10"/>
    <col width="20.28515625" customWidth="1" style="27" min="11" max="11"/>
    <col width="4.85546875" customWidth="1" style="27" min="12" max="12"/>
    <col width="14.85546875" customWidth="1" style="27" min="13" max="13"/>
    <col width="12.7109375" customWidth="1" style="27" min="14" max="14"/>
    <col width="12.85546875" customWidth="1" style="27" min="15" max="15"/>
    <col width="14.28515625" customWidth="1" style="27" min="16" max="16"/>
    <col width="14.85546875" customWidth="1" style="27" min="17" max="17"/>
    <col width="8.7109375" customWidth="1" style="27" min="18" max="18"/>
    <col width="6" customWidth="1" style="27" min="19" max="19"/>
    <col width="135.28515625" customWidth="1" style="27" min="20" max="20"/>
    <col width="19.7109375" customWidth="1" style="27" min="21" max="21"/>
    <col width="8.7109375" customWidth="1" style="27" min="22" max="26"/>
  </cols>
  <sheetData>
    <row r="1" ht="29.25" customHeight="1" s="27">
      <c r="A1" s="1" t="inlineStr">
        <is>
          <t>Date</t>
        </is>
      </c>
      <c r="B1" s="1" t="inlineStr">
        <is>
          <t>Invoice Number</t>
        </is>
      </c>
      <c r="C1" s="1" t="inlineStr">
        <is>
          <t>Customer Name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Product Name</t>
        </is>
      </c>
      <c r="G1" s="1" t="inlineStr">
        <is>
          <t>Category</t>
        </is>
      </c>
      <c r="H1" s="1" t="inlineStr">
        <is>
          <t>Qty</t>
        </is>
      </c>
      <c r="I1" s="1" t="inlineStr">
        <is>
          <t>Price</t>
        </is>
      </c>
      <c r="J1" s="1" t="inlineStr">
        <is>
          <t>Discount</t>
        </is>
      </c>
      <c r="K1" s="28" t="inlineStr">
        <is>
          <t>Total After Discount</t>
        </is>
      </c>
      <c r="L1" s="1" t="inlineStr">
        <is>
          <t>GST</t>
        </is>
      </c>
      <c r="M1" s="1" t="inlineStr">
        <is>
          <t>Total with GST</t>
        </is>
      </c>
      <c r="N1" s="1" t="inlineStr">
        <is>
          <t>Commission</t>
        </is>
      </c>
      <c r="O1" s="1" t="inlineStr">
        <is>
          <t>Net Amount</t>
        </is>
      </c>
      <c r="P1" s="1" t="inlineStr">
        <is>
          <t>Sales Channel</t>
        </is>
      </c>
      <c r="Q1" s="1" t="inlineStr">
        <is>
          <t>Store Location</t>
        </is>
      </c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14.25" customHeight="1" s="27">
      <c r="A2" s="4" t="n">
        <v>43834</v>
      </c>
      <c r="B2" s="5" t="inlineStr">
        <is>
          <t>Inv-2020/037</t>
        </is>
      </c>
      <c r="C2" s="5" t="inlineStr">
        <is>
          <t>Vipul Gopal Sawant</t>
        </is>
      </c>
      <c r="D2" s="5" t="inlineStr">
        <is>
          <t>Mumbai</t>
        </is>
      </c>
      <c r="E2" s="5" t="inlineStr">
        <is>
          <t>Cab-265</t>
        </is>
      </c>
      <c r="F2" s="5" t="inlineStr">
        <is>
          <t>TV Cabinet</t>
        </is>
      </c>
      <c r="G2" s="5" t="inlineStr">
        <is>
          <t>Cabinet</t>
        </is>
      </c>
      <c r="H2" s="5" t="n">
        <v>1</v>
      </c>
      <c r="I2" s="5" t="n">
        <v>12450</v>
      </c>
      <c r="J2" s="6" t="n">
        <v>0.04</v>
      </c>
      <c r="K2" s="29">
        <f>I2-(I2*J2)</f>
        <v/>
      </c>
      <c r="L2" s="8" t="n">
        <v>0.18</v>
      </c>
      <c r="M2" s="29">
        <f>(K2*L2*H2)+H2*K2</f>
        <v/>
      </c>
      <c r="N2" s="30" t="n">
        <v>0</v>
      </c>
      <c r="O2" s="29">
        <f>M2-N2</f>
        <v/>
      </c>
      <c r="P2" s="5" t="inlineStr">
        <is>
          <t>Store</t>
        </is>
      </c>
      <c r="Q2" s="5" t="inlineStr">
        <is>
          <t>Mumbai</t>
        </is>
      </c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 ht="14.25" customHeight="1" s="27">
      <c r="A3" s="4" t="n">
        <v>43841</v>
      </c>
      <c r="B3" s="5" t="inlineStr">
        <is>
          <t>Inv-2020/018</t>
        </is>
      </c>
      <c r="C3" s="5" t="inlineStr">
        <is>
          <t>Poonam Balaprasad Varma</t>
        </is>
      </c>
      <c r="D3" s="5" t="inlineStr">
        <is>
          <t>Pune</t>
        </is>
      </c>
      <c r="E3" s="5" t="inlineStr">
        <is>
          <t>Sof-268</t>
        </is>
      </c>
      <c r="F3" s="5" t="inlineStr">
        <is>
          <t>Sofa 5-seater</t>
        </is>
      </c>
      <c r="G3" s="5" t="inlineStr">
        <is>
          <t>Sofa</t>
        </is>
      </c>
      <c r="H3" s="5" t="n">
        <v>1</v>
      </c>
      <c r="I3" s="5" t="n">
        <v>76000</v>
      </c>
      <c r="J3" s="6" t="n">
        <v>0.03</v>
      </c>
      <c r="K3" s="29">
        <f>I3-(I3*J3)</f>
        <v/>
      </c>
      <c r="L3" s="8" t="n">
        <v>0.18</v>
      </c>
      <c r="M3" s="29">
        <f>(K3*L3*H3)+H3*K3</f>
        <v/>
      </c>
      <c r="N3" s="30" t="n">
        <v>26096.88</v>
      </c>
      <c r="O3" s="29">
        <f>M3-N3</f>
        <v/>
      </c>
      <c r="P3" s="5" t="inlineStr">
        <is>
          <t>Amazon</t>
        </is>
      </c>
      <c r="Q3" s="5" t="n"/>
      <c r="R3" s="13" t="n"/>
      <c r="S3" s="26" t="inlineStr">
        <is>
          <t>Problem Statements</t>
        </is>
      </c>
      <c r="V3" s="13" t="n"/>
      <c r="W3" s="13" t="n"/>
      <c r="X3" s="13" t="n"/>
      <c r="Y3" s="13" t="n"/>
      <c r="Z3" s="13" t="n"/>
    </row>
    <row r="4" ht="14.25" customHeight="1" s="27">
      <c r="A4" s="4" t="n">
        <v>43842</v>
      </c>
      <c r="B4" s="5" t="inlineStr">
        <is>
          <t>Inv-2020/078</t>
        </is>
      </c>
      <c r="C4" s="5" t="inlineStr">
        <is>
          <t>Shreya Nandkumar Kulkarni</t>
        </is>
      </c>
      <c r="D4" s="5" t="inlineStr">
        <is>
          <t>Pune</t>
        </is>
      </c>
      <c r="E4" s="5" t="inlineStr">
        <is>
          <t>Sof-267</t>
        </is>
      </c>
      <c r="F4" s="5" t="inlineStr">
        <is>
          <t>Sofa 3-seater</t>
        </is>
      </c>
      <c r="G4" s="5" t="inlineStr">
        <is>
          <t>Sofa</t>
        </is>
      </c>
      <c r="H4" s="5" t="n">
        <v>1</v>
      </c>
      <c r="I4" s="5" t="n">
        <v>53000</v>
      </c>
      <c r="J4" s="6" t="n">
        <v>0</v>
      </c>
      <c r="K4" s="29">
        <f>I4-(I4*J4)</f>
        <v/>
      </c>
      <c r="L4" s="8" t="n">
        <v>0.18</v>
      </c>
      <c r="M4" s="29">
        <f>(K4*L4*H4)+H4*K4</f>
        <v/>
      </c>
      <c r="N4" s="30" t="n">
        <v>0</v>
      </c>
      <c r="O4" s="29">
        <f>M4-N4</f>
        <v/>
      </c>
      <c r="P4" s="5" t="inlineStr">
        <is>
          <t>Store</t>
        </is>
      </c>
      <c r="Q4" s="5" t="inlineStr">
        <is>
          <t>Pune</t>
        </is>
      </c>
      <c r="R4" s="13" t="n"/>
      <c r="V4" s="13" t="n"/>
      <c r="W4" s="13" t="n"/>
      <c r="X4" s="13" t="n"/>
      <c r="Y4" s="13" t="n"/>
      <c r="Z4" s="13" t="n"/>
    </row>
    <row r="5" ht="14.25" customHeight="1" s="27">
      <c r="A5" s="4" t="n">
        <v>43845</v>
      </c>
      <c r="B5" s="5" t="inlineStr">
        <is>
          <t>Inv-2020/051</t>
        </is>
      </c>
      <c r="C5" s="5" t="inlineStr">
        <is>
          <t>Pranshul Jitendra Prasad</t>
        </is>
      </c>
      <c r="D5" s="5" t="inlineStr">
        <is>
          <t>Pune</t>
        </is>
      </c>
      <c r="E5" s="5" t="inlineStr">
        <is>
          <t>Rec-234</t>
        </is>
      </c>
      <c r="F5" s="5" t="inlineStr">
        <is>
          <t>Leather Recliner</t>
        </is>
      </c>
      <c r="G5" s="5" t="inlineStr">
        <is>
          <t>Sofa</t>
        </is>
      </c>
      <c r="H5" s="5" t="n">
        <v>2</v>
      </c>
      <c r="I5" s="5" t="n">
        <v>29800</v>
      </c>
      <c r="J5" s="6" t="n">
        <v>0.05</v>
      </c>
      <c r="K5" s="29">
        <f>I5-(I5*J5)</f>
        <v/>
      </c>
      <c r="L5" s="8" t="n">
        <v>0.18</v>
      </c>
      <c r="M5" s="29">
        <f>(K5*L5*H5)+H5*K5</f>
        <v/>
      </c>
      <c r="N5" s="30" t="n">
        <v>0</v>
      </c>
      <c r="O5" s="29">
        <f>M5-N5</f>
        <v/>
      </c>
      <c r="P5" s="5" t="inlineStr">
        <is>
          <t>Store</t>
        </is>
      </c>
      <c r="Q5" s="5" t="inlineStr">
        <is>
          <t>Pune</t>
        </is>
      </c>
      <c r="R5" s="13" t="n"/>
      <c r="S5" s="10" t="n">
        <v>1</v>
      </c>
      <c r="T5" s="11" t="inlineStr">
        <is>
          <t>Find total of Net Amount</t>
        </is>
      </c>
      <c r="U5" s="31">
        <f>SUM(O2:O101)</f>
        <v/>
      </c>
      <c r="V5" s="13" t="n"/>
      <c r="W5" s="13" t="n"/>
      <c r="X5" s="13" t="n"/>
      <c r="Y5" s="13" t="n"/>
      <c r="Z5" s="13" t="n"/>
    </row>
    <row r="6" ht="14.25" customHeight="1" s="27">
      <c r="A6" s="4" t="n">
        <v>43848</v>
      </c>
      <c r="B6" s="5" t="inlineStr">
        <is>
          <t>Inv-2020/015</t>
        </is>
      </c>
      <c r="C6" s="5" t="inlineStr">
        <is>
          <t>Priyanka Atulkumar Waje</t>
        </is>
      </c>
      <c r="D6" s="5" t="inlineStr">
        <is>
          <t>Pune</t>
        </is>
      </c>
      <c r="E6" s="5" t="inlineStr">
        <is>
          <t>Tab-564</t>
        </is>
      </c>
      <c r="F6" s="5" t="inlineStr">
        <is>
          <t>Dining Table 4-seater</t>
        </is>
      </c>
      <c r="G6" s="5" t="inlineStr">
        <is>
          <t>Table</t>
        </is>
      </c>
      <c r="H6" s="5" t="n">
        <v>1</v>
      </c>
      <c r="I6" s="5" t="n">
        <v>24500</v>
      </c>
      <c r="J6" s="6" t="n">
        <v>0.02</v>
      </c>
      <c r="K6" s="29">
        <f>I6-(I6*J6)</f>
        <v/>
      </c>
      <c r="L6" s="8" t="n">
        <v>0.18</v>
      </c>
      <c r="M6" s="29">
        <f>(K6*L6*H6)+H6*K6</f>
        <v/>
      </c>
      <c r="N6" s="30" t="n">
        <v>7649.586</v>
      </c>
      <c r="O6" s="29">
        <f>M6-N6</f>
        <v/>
      </c>
      <c r="P6" s="5" t="inlineStr">
        <is>
          <t>Flipkart</t>
        </is>
      </c>
      <c r="Q6" s="5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 ht="14.25" customHeight="1" s="27">
      <c r="A7" s="4" t="n">
        <v>43859</v>
      </c>
      <c r="B7" s="5" t="inlineStr">
        <is>
          <t>Inv-2020/006</t>
        </is>
      </c>
      <c r="C7" s="5" t="inlineStr">
        <is>
          <t>Sayantan Anand Gawande</t>
        </is>
      </c>
      <c r="D7" s="5" t="inlineStr">
        <is>
          <t>Mumbai</t>
        </is>
      </c>
      <c r="E7" s="5" t="inlineStr">
        <is>
          <t>Tab-565</t>
        </is>
      </c>
      <c r="F7" s="5" t="inlineStr">
        <is>
          <t>Dining Table 6-seater</t>
        </is>
      </c>
      <c r="G7" s="5" t="inlineStr">
        <is>
          <t>Table</t>
        </is>
      </c>
      <c r="H7" s="5" t="n">
        <v>1</v>
      </c>
      <c r="I7" s="5" t="n">
        <v>32450</v>
      </c>
      <c r="J7" s="6" t="n">
        <v>0.02</v>
      </c>
      <c r="K7" s="29">
        <f>I7-(I7*J7)</f>
        <v/>
      </c>
      <c r="L7" s="8" t="n">
        <v>0.18</v>
      </c>
      <c r="M7" s="29">
        <f>(K7*L7*H7)+H7*K7</f>
        <v/>
      </c>
      <c r="N7" s="30" t="n">
        <v>0</v>
      </c>
      <c r="O7" s="29">
        <f>M7-N7</f>
        <v/>
      </c>
      <c r="P7" s="5" t="inlineStr">
        <is>
          <t>Website</t>
        </is>
      </c>
      <c r="Q7" s="5" t="n"/>
      <c r="R7" s="13" t="n"/>
      <c r="S7" s="10" t="n">
        <v>2</v>
      </c>
      <c r="T7" s="11" t="inlineStr">
        <is>
          <t>How many Number of Invoices Generated</t>
        </is>
      </c>
      <c r="U7" s="14">
        <f>COUNTA(B2:B101)</f>
        <v/>
      </c>
      <c r="V7" s="13" t="n"/>
      <c r="W7" s="13" t="n"/>
      <c r="X7" s="13" t="n"/>
      <c r="Y7" s="13" t="n"/>
      <c r="Z7" s="13" t="n"/>
    </row>
    <row r="8" ht="14.25" customHeight="1" s="27">
      <c r="A8" s="4" t="n">
        <v>43864</v>
      </c>
      <c r="B8" s="5" t="inlineStr">
        <is>
          <t>Inv-2020/004</t>
        </is>
      </c>
      <c r="C8" s="5" t="inlineStr">
        <is>
          <t>Shivani Ajit Ritesh</t>
        </is>
      </c>
      <c r="D8" s="5" t="inlineStr">
        <is>
          <t>Pune</t>
        </is>
      </c>
      <c r="E8" s="5" t="inlineStr">
        <is>
          <t>Rec-234</t>
        </is>
      </c>
      <c r="F8" s="5" t="inlineStr">
        <is>
          <t>Leather Recliner</t>
        </is>
      </c>
      <c r="G8" s="5" t="inlineStr">
        <is>
          <t>Sofa</t>
        </is>
      </c>
      <c r="H8" s="5" t="n">
        <v>1</v>
      </c>
      <c r="I8" s="5" t="n">
        <v>29800</v>
      </c>
      <c r="J8" s="6" t="n">
        <v>0.04</v>
      </c>
      <c r="K8" s="29">
        <f>I8-(I8*J8)</f>
        <v/>
      </c>
      <c r="L8" s="8" t="n">
        <v>0.18</v>
      </c>
      <c r="M8" s="29">
        <f>(K8*L8*H8)+H8*K8</f>
        <v/>
      </c>
      <c r="N8" s="30" t="n">
        <v>0</v>
      </c>
      <c r="O8" s="29">
        <f>M8-N8</f>
        <v/>
      </c>
      <c r="P8" s="5" t="inlineStr">
        <is>
          <t>Store</t>
        </is>
      </c>
      <c r="Q8" s="5" t="inlineStr">
        <is>
          <t>Pune</t>
        </is>
      </c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 ht="14.25" customHeight="1" s="27">
      <c r="A9" s="4" t="n">
        <v>43864</v>
      </c>
      <c r="B9" s="5" t="inlineStr">
        <is>
          <t>Inv-2020/076</t>
        </is>
      </c>
      <c r="C9" s="5" t="inlineStr">
        <is>
          <t>Tapan Nagesh Kulkarni</t>
        </is>
      </c>
      <c r="D9" s="5" t="inlineStr">
        <is>
          <t>Mumbai</t>
        </is>
      </c>
      <c r="E9" s="5" t="inlineStr">
        <is>
          <t>Tab-564</t>
        </is>
      </c>
      <c r="F9" s="5" t="inlineStr">
        <is>
          <t>Dining Table 4-seater</t>
        </is>
      </c>
      <c r="G9" s="5" t="inlineStr">
        <is>
          <t>Table</t>
        </is>
      </c>
      <c r="H9" s="5" t="n">
        <v>1</v>
      </c>
      <c r="I9" s="5" t="n">
        <v>24500</v>
      </c>
      <c r="J9" s="6" t="n">
        <v>0.01</v>
      </c>
      <c r="K9" s="29">
        <f>I9-(I9*J9)</f>
        <v/>
      </c>
      <c r="L9" s="8" t="n">
        <v>0.18</v>
      </c>
      <c r="M9" s="29">
        <f>(K9*L9*H9)+H9*K9</f>
        <v/>
      </c>
      <c r="N9" s="30" t="n">
        <v>0</v>
      </c>
      <c r="O9" s="29">
        <f>M9-N9</f>
        <v/>
      </c>
      <c r="P9" s="5" t="inlineStr">
        <is>
          <t>Store</t>
        </is>
      </c>
      <c r="Q9" s="5" t="inlineStr">
        <is>
          <t>Mumbai</t>
        </is>
      </c>
      <c r="R9" s="13" t="n"/>
      <c r="S9" s="10" t="n">
        <v>3</v>
      </c>
      <c r="T9" s="11" t="inlineStr">
        <is>
          <t>Find the average commission given</t>
        </is>
      </c>
      <c r="U9" s="31">
        <f>AVERAGE(N2:N101)</f>
        <v/>
      </c>
      <c r="V9" s="13" t="n"/>
      <c r="W9" s="13" t="n"/>
      <c r="X9" s="13" t="n"/>
      <c r="Y9" s="13" t="n"/>
      <c r="Z9" s="13" t="n"/>
    </row>
    <row r="10" ht="14.25" customHeight="1" s="27">
      <c r="A10" s="4" t="n">
        <v>43867</v>
      </c>
      <c r="B10" s="5" t="inlineStr">
        <is>
          <t>Inv-2020/048</t>
        </is>
      </c>
      <c r="C10" s="5" t="inlineStr">
        <is>
          <t>Pratik Jayesh Purandare</t>
        </is>
      </c>
      <c r="D10" s="5" t="inlineStr">
        <is>
          <t>Ahmedabad</t>
        </is>
      </c>
      <c r="E10" s="5" t="inlineStr">
        <is>
          <t>Tab-565</t>
        </is>
      </c>
      <c r="F10" s="5" t="inlineStr">
        <is>
          <t>Dining Table 6-seater</t>
        </is>
      </c>
      <c r="G10" s="5" t="inlineStr">
        <is>
          <t>Table</t>
        </is>
      </c>
      <c r="H10" s="5" t="n">
        <v>1</v>
      </c>
      <c r="I10" s="5" t="n">
        <v>32450</v>
      </c>
      <c r="J10" s="6" t="n">
        <v>0.04</v>
      </c>
      <c r="K10" s="29">
        <f>I10-(I10*J10)</f>
        <v/>
      </c>
      <c r="L10" s="8" t="n">
        <v>0.18</v>
      </c>
      <c r="M10" s="29">
        <f>(K10*L10*H10)+H10*K10</f>
        <v/>
      </c>
      <c r="N10" s="30" t="n">
        <v>9925.0272</v>
      </c>
      <c r="O10" s="29">
        <f>M10-N10</f>
        <v/>
      </c>
      <c r="P10" s="5" t="inlineStr">
        <is>
          <t>Flipkart</t>
        </is>
      </c>
      <c r="Q10" s="5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 ht="14.25" customHeight="1" s="27">
      <c r="A11" s="4" t="n">
        <v>43870</v>
      </c>
      <c r="B11" s="5" t="inlineStr">
        <is>
          <t>Inv-2020/028</t>
        </is>
      </c>
      <c r="C11" s="5" t="inlineStr">
        <is>
          <t>Bhakti Dattatray Shinde</t>
        </is>
      </c>
      <c r="D11" s="5" t="inlineStr">
        <is>
          <t>Pune</t>
        </is>
      </c>
      <c r="E11" s="5" t="inlineStr">
        <is>
          <t>Chr-845</t>
        </is>
      </c>
      <c r="F11" s="5" t="inlineStr">
        <is>
          <t>Arm Chair</t>
        </is>
      </c>
      <c r="G11" s="5" t="inlineStr">
        <is>
          <t>Sofa</t>
        </is>
      </c>
      <c r="H11" s="5" t="n">
        <v>1</v>
      </c>
      <c r="I11" s="5" t="n">
        <v>7000</v>
      </c>
      <c r="J11" s="6" t="n">
        <v>0.01</v>
      </c>
      <c r="K11" s="29">
        <f>I11-(I11*J11)</f>
        <v/>
      </c>
      <c r="L11" s="8" t="n">
        <v>0.18</v>
      </c>
      <c r="M11" s="29">
        <f>(K11*L11*H11)+H11*K11</f>
        <v/>
      </c>
      <c r="N11" s="30" t="n">
        <v>0</v>
      </c>
      <c r="O11" s="29">
        <f>M11-N11</f>
        <v/>
      </c>
      <c r="P11" s="5" t="inlineStr">
        <is>
          <t>Store</t>
        </is>
      </c>
      <c r="Q11" s="5" t="inlineStr">
        <is>
          <t>Pune</t>
        </is>
      </c>
      <c r="R11" s="13" t="n"/>
      <c r="S11" s="10" t="n">
        <v>4</v>
      </c>
      <c r="T11" s="11" t="inlineStr">
        <is>
          <t>Round the Average Commission which you find above</t>
        </is>
      </c>
      <c r="U11" s="32">
        <f>ROUND(AVERAGE(N2:N101),0)</f>
        <v/>
      </c>
      <c r="V11" s="13" t="n"/>
      <c r="W11" s="13" t="n"/>
      <c r="X11" s="13" t="n"/>
      <c r="Y11" s="13" t="n"/>
      <c r="Z11" s="13" t="n"/>
    </row>
    <row r="12" ht="14.25" customHeight="1" s="27">
      <c r="A12" s="4" t="n">
        <v>43878</v>
      </c>
      <c r="B12" s="5" t="inlineStr">
        <is>
          <t>Inv-2020/061</t>
        </is>
      </c>
      <c r="C12" s="5" t="inlineStr">
        <is>
          <t>Disha Madan Naik</t>
        </is>
      </c>
      <c r="D12" s="5" t="inlineStr">
        <is>
          <t>Ahmedabad</t>
        </is>
      </c>
      <c r="E12" s="5" t="inlineStr">
        <is>
          <t>Tab-564</t>
        </is>
      </c>
      <c r="F12" s="5" t="inlineStr">
        <is>
          <t>Dining Table 4-seater</t>
        </is>
      </c>
      <c r="G12" s="5" t="inlineStr">
        <is>
          <t>Table</t>
        </is>
      </c>
      <c r="H12" s="5" t="n">
        <v>1</v>
      </c>
      <c r="I12" s="5" t="n">
        <v>24500</v>
      </c>
      <c r="J12" s="6" t="n">
        <v>0</v>
      </c>
      <c r="K12" s="29">
        <f>I12-(I12*J12)</f>
        <v/>
      </c>
      <c r="L12" s="8" t="n">
        <v>0.18</v>
      </c>
      <c r="M12" s="29">
        <f>(K12*L12*H12)+H12*K12</f>
        <v/>
      </c>
      <c r="N12" s="30" t="n">
        <v>7805.700000000001</v>
      </c>
      <c r="O12" s="29">
        <f>M12-N12</f>
        <v/>
      </c>
      <c r="P12" s="5" t="inlineStr">
        <is>
          <t>Flipkart</t>
        </is>
      </c>
      <c r="Q12" s="5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 ht="14.25" customHeight="1" s="27">
      <c r="A13" s="4" t="n">
        <v>43878</v>
      </c>
      <c r="B13" s="5" t="inlineStr">
        <is>
          <t>Inv-2020/061</t>
        </is>
      </c>
      <c r="C13" s="5" t="inlineStr">
        <is>
          <t>Disha Madan Naik</t>
        </is>
      </c>
      <c r="D13" s="5" t="inlineStr">
        <is>
          <t>Ahmedabad</t>
        </is>
      </c>
      <c r="E13" s="5" t="inlineStr">
        <is>
          <t>Rec-234</t>
        </is>
      </c>
      <c r="F13" s="5" t="inlineStr">
        <is>
          <t>Leather Recliner</t>
        </is>
      </c>
      <c r="G13" s="5" t="inlineStr">
        <is>
          <t>Sofa</t>
        </is>
      </c>
      <c r="H13" s="5" t="n">
        <v>1</v>
      </c>
      <c r="I13" s="5" t="n">
        <v>29800</v>
      </c>
      <c r="J13" s="6" t="n">
        <v>0.02</v>
      </c>
      <c r="K13" s="29">
        <f>I13-(I13*J13)</f>
        <v/>
      </c>
      <c r="L13" s="8" t="n">
        <v>0.18</v>
      </c>
      <c r="M13" s="29">
        <f>(K13*L13*H13)+H13*K13</f>
        <v/>
      </c>
      <c r="N13" s="30" t="n">
        <v>9304.394400000001</v>
      </c>
      <c r="O13" s="29">
        <f>M13-N13</f>
        <v/>
      </c>
      <c r="P13" s="5" t="inlineStr">
        <is>
          <t>Flipkart</t>
        </is>
      </c>
      <c r="Q13" s="5" t="n"/>
      <c r="R13" s="13" t="n"/>
      <c r="S13" s="10" t="n">
        <v>5</v>
      </c>
      <c r="T13" s="11" t="inlineStr">
        <is>
          <t>Find highest Discount given in %</t>
        </is>
      </c>
      <c r="U13" s="33">
        <f>MAX(J2:J101)</f>
        <v/>
      </c>
      <c r="V13" s="13" t="n"/>
      <c r="W13" s="13" t="n"/>
      <c r="X13" s="13" t="n"/>
      <c r="Y13" s="13" t="n"/>
      <c r="Z13" s="13" t="n"/>
    </row>
    <row r="14" ht="14.25" customHeight="1" s="27">
      <c r="A14" s="4" t="n">
        <v>43889</v>
      </c>
      <c r="B14" s="5" t="inlineStr">
        <is>
          <t>Inv-2020/056</t>
        </is>
      </c>
      <c r="C14" s="5" t="inlineStr">
        <is>
          <t>Madhura Kshirsagar Pandit</t>
        </is>
      </c>
      <c r="D14" s="5" t="inlineStr">
        <is>
          <t>Mumbai</t>
        </is>
      </c>
      <c r="E14" s="5" t="inlineStr">
        <is>
          <t>Sof-268</t>
        </is>
      </c>
      <c r="F14" s="5" t="inlineStr">
        <is>
          <t>Sofa 5-seater</t>
        </is>
      </c>
      <c r="G14" s="5" t="inlineStr">
        <is>
          <t>Sofa</t>
        </is>
      </c>
      <c r="H14" s="5" t="n">
        <v>1</v>
      </c>
      <c r="I14" s="5" t="n">
        <v>76000</v>
      </c>
      <c r="J14" s="6" t="n">
        <v>0</v>
      </c>
      <c r="K14" s="29">
        <f>I14-(I14*J14)</f>
        <v/>
      </c>
      <c r="L14" s="8" t="n">
        <v>0.18</v>
      </c>
      <c r="M14" s="29">
        <f>(K14*L14*H14)+H14*K14</f>
        <v/>
      </c>
      <c r="N14" s="30" t="n">
        <v>0</v>
      </c>
      <c r="O14" s="29">
        <f>M14-N14</f>
        <v/>
      </c>
      <c r="P14" s="5" t="inlineStr">
        <is>
          <t>Website</t>
        </is>
      </c>
      <c r="Q14" s="5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 ht="14.25" customHeight="1" s="27">
      <c r="A15" s="4" t="n">
        <v>43890</v>
      </c>
      <c r="B15" s="5" t="inlineStr">
        <is>
          <t>Inv-2020/039</t>
        </is>
      </c>
      <c r="C15" s="5" t="inlineStr">
        <is>
          <t>Somay Gyarsilal Satpute</t>
        </is>
      </c>
      <c r="D15" s="5" t="inlineStr">
        <is>
          <t>Pune</t>
        </is>
      </c>
      <c r="E15" s="5" t="inlineStr">
        <is>
          <t>Cab-265</t>
        </is>
      </c>
      <c r="F15" s="5" t="inlineStr">
        <is>
          <t>TV Cabinet</t>
        </is>
      </c>
      <c r="G15" s="5" t="inlineStr">
        <is>
          <t>Cabinet</t>
        </is>
      </c>
      <c r="H15" s="5" t="n">
        <v>1</v>
      </c>
      <c r="I15" s="5" t="n">
        <v>12450</v>
      </c>
      <c r="J15" s="6" t="n">
        <v>0</v>
      </c>
      <c r="K15" s="29">
        <f>I15-(I15*J15)</f>
        <v/>
      </c>
      <c r="L15" s="8" t="n">
        <v>0.18</v>
      </c>
      <c r="M15" s="29">
        <f>(K15*L15*H15)+H15*K15</f>
        <v/>
      </c>
      <c r="N15" s="30" t="n">
        <v>0</v>
      </c>
      <c r="O15" s="29">
        <f>M15-N15</f>
        <v/>
      </c>
      <c r="P15" s="5" t="inlineStr">
        <is>
          <t>Store</t>
        </is>
      </c>
      <c r="Q15" s="5" t="inlineStr">
        <is>
          <t>Pune</t>
        </is>
      </c>
      <c r="R15" s="13" t="n"/>
      <c r="S15" s="10" t="n">
        <v>6</v>
      </c>
      <c r="T15" s="11" t="inlineStr">
        <is>
          <t xml:space="preserve">Find the  Second Highest Commision </t>
        </is>
      </c>
      <c r="U15" s="31">
        <f>LARGE(N2:N101,2)</f>
        <v/>
      </c>
      <c r="V15" s="13" t="n"/>
      <c r="W15" s="13" t="n"/>
      <c r="X15" s="13" t="n"/>
      <c r="Y15" s="13" t="n"/>
      <c r="Z15" s="13" t="n"/>
    </row>
    <row r="16" ht="14.25" customHeight="1" s="27" thickBot="1">
      <c r="A16" s="4" t="n">
        <v>43898</v>
      </c>
      <c r="B16" s="5" t="inlineStr">
        <is>
          <t>Inv-2020/001</t>
        </is>
      </c>
      <c r="C16" s="5" t="inlineStr">
        <is>
          <t>Yash Adesh Kumar</t>
        </is>
      </c>
      <c r="D16" s="5" t="inlineStr">
        <is>
          <t>Mumbai</t>
        </is>
      </c>
      <c r="E16" s="5" t="inlineStr">
        <is>
          <t>Sof-268</t>
        </is>
      </c>
      <c r="F16" s="5" t="inlineStr">
        <is>
          <t>Sofa 5-seater</t>
        </is>
      </c>
      <c r="G16" s="5" t="inlineStr">
        <is>
          <t>Sofa</t>
        </is>
      </c>
      <c r="H16" s="5" t="n">
        <v>1</v>
      </c>
      <c r="I16" s="5" t="n">
        <v>76000</v>
      </c>
      <c r="J16" s="6" t="n">
        <v>0.05</v>
      </c>
      <c r="K16" s="29">
        <f>I16-(I16*J16)</f>
        <v/>
      </c>
      <c r="L16" s="8" t="n">
        <v>0.18</v>
      </c>
      <c r="M16" s="29">
        <f>(K16*L16*H16)+H16*K16</f>
        <v/>
      </c>
      <c r="N16" s="30" t="n">
        <v>23002.92</v>
      </c>
      <c r="O16" s="29">
        <f>M16-N16</f>
        <v/>
      </c>
      <c r="P16" s="5" t="inlineStr">
        <is>
          <t>Flipkart</t>
        </is>
      </c>
      <c r="Q16" s="5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 ht="14.25" customHeight="1" s="27" thickBot="1">
      <c r="A17" s="4" t="n">
        <v>43898</v>
      </c>
      <c r="B17" s="5" t="inlineStr">
        <is>
          <t>Inv-2020/001</t>
        </is>
      </c>
      <c r="C17" s="5" t="inlineStr">
        <is>
          <t>Yash Adesh Kumar</t>
        </is>
      </c>
      <c r="D17" s="5" t="inlineStr">
        <is>
          <t>Mumbai</t>
        </is>
      </c>
      <c r="E17" s="5" t="inlineStr">
        <is>
          <t>Tab-564</t>
        </is>
      </c>
      <c r="F17" s="5" t="inlineStr">
        <is>
          <t>Dining Table 4-seater</t>
        </is>
      </c>
      <c r="G17" s="5" t="inlineStr">
        <is>
          <t>Table</t>
        </is>
      </c>
      <c r="H17" s="5" t="n">
        <v>1</v>
      </c>
      <c r="I17" s="5" t="n">
        <v>24500</v>
      </c>
      <c r="J17" s="6" t="n">
        <v>0.04</v>
      </c>
      <c r="K17" s="29">
        <f>I17-(I17*J17)</f>
        <v/>
      </c>
      <c r="L17" s="8" t="n">
        <v>0.18</v>
      </c>
      <c r="M17" s="29">
        <f>(K17*L17*H17)+H17*K17</f>
        <v/>
      </c>
      <c r="N17" s="30" t="n">
        <v>7493.472</v>
      </c>
      <c r="O17" s="29">
        <f>M17-N17</f>
        <v/>
      </c>
      <c r="P17" s="5" t="inlineStr">
        <is>
          <t>Flipkart</t>
        </is>
      </c>
      <c r="Q17" s="5" t="n"/>
      <c r="R17" s="13" t="n"/>
      <c r="S17" s="10" t="n">
        <v>7</v>
      </c>
      <c r="T17" s="11" t="inlineStr">
        <is>
          <t>What is the total amount earned from all invoices in the dataset?</t>
        </is>
      </c>
      <c r="U17" s="31">
        <f>SUM(O2:O101)</f>
        <v/>
      </c>
      <c r="V17" s="13" t="n"/>
      <c r="W17" s="13" t="n"/>
      <c r="X17" s="13" t="n"/>
      <c r="Y17" s="13" t="n"/>
      <c r="Z17" s="13" t="n"/>
    </row>
    <row r="18" ht="14.25" customHeight="1" s="27" thickBot="1">
      <c r="A18" s="4" t="n">
        <v>43900</v>
      </c>
      <c r="B18" s="5" t="inlineStr">
        <is>
          <t>Inv-2020/058</t>
        </is>
      </c>
      <c r="C18" s="5" t="inlineStr">
        <is>
          <t>Kalpesh Laxman Oswal</t>
        </is>
      </c>
      <c r="D18" s="5" t="inlineStr">
        <is>
          <t>Mumbai</t>
        </is>
      </c>
      <c r="E18" s="5" t="inlineStr">
        <is>
          <t>Rec-234</t>
        </is>
      </c>
      <c r="F18" s="5" t="inlineStr">
        <is>
          <t>Leather Recliner</t>
        </is>
      </c>
      <c r="G18" s="5" t="inlineStr">
        <is>
          <t>Sofa</t>
        </is>
      </c>
      <c r="H18" s="5" t="n">
        <v>1</v>
      </c>
      <c r="I18" s="5" t="n">
        <v>29800</v>
      </c>
      <c r="J18" s="6" t="n">
        <v>0</v>
      </c>
      <c r="K18" s="29">
        <f>I18-(I18*J18)</f>
        <v/>
      </c>
      <c r="L18" s="8" t="n">
        <v>0.18</v>
      </c>
      <c r="M18" s="29">
        <f>(K18*L18*H18)+H18*K18</f>
        <v/>
      </c>
      <c r="N18" s="30" t="n">
        <v>0</v>
      </c>
      <c r="O18" s="29">
        <f>M18-N18</f>
        <v/>
      </c>
      <c r="P18" s="5" t="inlineStr">
        <is>
          <t>Store</t>
        </is>
      </c>
      <c r="Q18" s="5" t="inlineStr">
        <is>
          <t>Mumbai</t>
        </is>
      </c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 ht="14.25" customHeight="1" s="27" thickBot="1">
      <c r="A19" s="4" t="n">
        <v>43901</v>
      </c>
      <c r="B19" s="5" t="inlineStr">
        <is>
          <t>Inv-2020/073</t>
        </is>
      </c>
      <c r="C19" s="5" t="inlineStr">
        <is>
          <t>Viraj Milind Lande</t>
        </is>
      </c>
      <c r="D19" s="5" t="inlineStr">
        <is>
          <t>Pune</t>
        </is>
      </c>
      <c r="E19" s="5" t="inlineStr">
        <is>
          <t>Tab-564</t>
        </is>
      </c>
      <c r="F19" s="5" t="inlineStr">
        <is>
          <t>Dining Table 4-seater</t>
        </is>
      </c>
      <c r="G19" s="5" t="inlineStr">
        <is>
          <t>Table</t>
        </is>
      </c>
      <c r="H19" s="5" t="n">
        <v>1</v>
      </c>
      <c r="I19" s="5" t="n">
        <v>24500</v>
      </c>
      <c r="J19" s="6" t="n">
        <v>0.05</v>
      </c>
      <c r="K19" s="29">
        <f>I19-(I19*J19)</f>
        <v/>
      </c>
      <c r="L19" s="8" t="n">
        <v>0.18</v>
      </c>
      <c r="M19" s="29">
        <f>(K19*L19*H19)+H19*K19</f>
        <v/>
      </c>
      <c r="N19" s="30" t="n">
        <v>0</v>
      </c>
      <c r="O19" s="29">
        <f>M19-N19</f>
        <v/>
      </c>
      <c r="P19" s="5" t="inlineStr">
        <is>
          <t>Store</t>
        </is>
      </c>
      <c r="Q19" s="5" t="inlineStr">
        <is>
          <t>Pune</t>
        </is>
      </c>
      <c r="R19" s="13" t="n"/>
      <c r="S19" s="10" t="n">
        <v>8</v>
      </c>
      <c r="T19" s="11" t="inlineStr">
        <is>
          <t xml:space="preserve">Identify the highest invoice amount (Total with GST) in the dataset. </t>
        </is>
      </c>
      <c r="U19" s="31">
        <f>MAX(M2:M101)</f>
        <v/>
      </c>
      <c r="V19" s="13" t="n"/>
      <c r="W19" s="13" t="n"/>
      <c r="X19" s="13" t="n"/>
      <c r="Y19" s="13" t="n"/>
      <c r="Z19" s="13" t="n"/>
    </row>
    <row r="20" ht="14.25" customHeight="1" s="27" thickBot="1">
      <c r="A20" s="4" t="n">
        <v>43908</v>
      </c>
      <c r="B20" s="5" t="inlineStr">
        <is>
          <t>Inv-2020/064</t>
        </is>
      </c>
      <c r="C20" s="5" t="inlineStr">
        <is>
          <t>Anoushka Mahesh Mirajkar</t>
        </is>
      </c>
      <c r="D20" s="5" t="inlineStr">
        <is>
          <t>Pune</t>
        </is>
      </c>
      <c r="E20" s="5" t="inlineStr">
        <is>
          <t>Chr-845</t>
        </is>
      </c>
      <c r="F20" s="5" t="inlineStr">
        <is>
          <t>Arm Chair</t>
        </is>
      </c>
      <c r="G20" s="5" t="inlineStr">
        <is>
          <t>Sofa</t>
        </is>
      </c>
      <c r="H20" s="5" t="n">
        <v>2</v>
      </c>
      <c r="I20" s="5" t="n">
        <v>7000</v>
      </c>
      <c r="J20" s="6" t="n">
        <v>0.01</v>
      </c>
      <c r="K20" s="29">
        <f>I20-(I20*J20)</f>
        <v/>
      </c>
      <c r="L20" s="8" t="n">
        <v>0.18</v>
      </c>
      <c r="M20" s="29">
        <f>(K20*L20*H20)+H20*K20</f>
        <v/>
      </c>
      <c r="N20" s="30" t="n">
        <v>0</v>
      </c>
      <c r="O20" s="29">
        <f>M20-N20</f>
        <v/>
      </c>
      <c r="P20" s="5" t="inlineStr">
        <is>
          <t>Store</t>
        </is>
      </c>
      <c r="Q20" s="5" t="inlineStr">
        <is>
          <t>Pune</t>
        </is>
      </c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 ht="14.25" customHeight="1" s="27" thickBot="1">
      <c r="A21" s="4" t="n">
        <v>43921</v>
      </c>
      <c r="B21" s="5" t="inlineStr">
        <is>
          <t>Inv-2020/045</t>
        </is>
      </c>
      <c r="C21" s="5" t="inlineStr">
        <is>
          <t>Rohit Ishwar Rathi</t>
        </is>
      </c>
      <c r="D21" s="5" t="inlineStr">
        <is>
          <t>Ahmedabad</t>
        </is>
      </c>
      <c r="E21" s="5" t="inlineStr">
        <is>
          <t>Sof-268</t>
        </is>
      </c>
      <c r="F21" s="5" t="inlineStr">
        <is>
          <t>Sofa 5-seater</t>
        </is>
      </c>
      <c r="G21" s="5" t="inlineStr">
        <is>
          <t>Sofa</t>
        </is>
      </c>
      <c r="H21" s="5" t="n">
        <v>1</v>
      </c>
      <c r="I21" s="5" t="n">
        <v>76000</v>
      </c>
      <c r="J21" s="6" t="n">
        <v>0.01</v>
      </c>
      <c r="K21" s="29">
        <f>I21-(I21*J21)</f>
        <v/>
      </c>
      <c r="L21" s="8" t="n">
        <v>0.18</v>
      </c>
      <c r="M21" s="29">
        <f>(K21*L21*H21)+H21*K21</f>
        <v/>
      </c>
      <c r="N21" s="30" t="n">
        <v>26634.96</v>
      </c>
      <c r="O21" s="29">
        <f>M21-N21</f>
        <v/>
      </c>
      <c r="P21" s="5" t="inlineStr">
        <is>
          <t>Amazon</t>
        </is>
      </c>
      <c r="Q21" s="5" t="n"/>
      <c r="R21" s="13" t="n"/>
      <c r="S21" s="10" t="n">
        <v>9</v>
      </c>
      <c r="T21" s="11" t="inlineStr">
        <is>
          <t>How many invoices were made throughStore sales Channel?</t>
        </is>
      </c>
      <c r="U21" s="17">
        <f>COUNTIF(P2:P101,"Store")</f>
        <v/>
      </c>
      <c r="V21" s="13" t="n"/>
      <c r="W21" s="13" t="n"/>
      <c r="X21" s="13" t="n"/>
      <c r="Y21" s="13" t="n"/>
      <c r="Z21" s="13" t="n"/>
    </row>
    <row r="22" ht="14.25" customHeight="1" s="27" thickBot="1">
      <c r="A22" s="4" t="n">
        <v>43927</v>
      </c>
      <c r="B22" s="5" t="inlineStr">
        <is>
          <t>Inv-2020/022</t>
        </is>
      </c>
      <c r="C22" s="5" t="inlineStr">
        <is>
          <t>Mayur Bhausaheb Tapdiya</t>
        </is>
      </c>
      <c r="D22" s="5" t="inlineStr">
        <is>
          <t>Pune</t>
        </is>
      </c>
      <c r="E22" s="5" t="inlineStr">
        <is>
          <t>Chr-845</t>
        </is>
      </c>
      <c r="F22" s="5" t="inlineStr">
        <is>
          <t>Arm Chair</t>
        </is>
      </c>
      <c r="G22" s="5" t="inlineStr">
        <is>
          <t>Sofa</t>
        </is>
      </c>
      <c r="H22" s="5" t="n">
        <v>3</v>
      </c>
      <c r="I22" s="5" t="n">
        <v>7000</v>
      </c>
      <c r="J22" s="6" t="n">
        <v>0.02</v>
      </c>
      <c r="K22" s="29">
        <f>I22-(I22*J22)</f>
        <v/>
      </c>
      <c r="L22" s="8" t="n">
        <v>0.18</v>
      </c>
      <c r="M22" s="29">
        <f>(K22*L22*H22)+H22*K22</f>
        <v/>
      </c>
      <c r="N22" s="30" t="n">
        <v>7285.320000000001</v>
      </c>
      <c r="O22" s="29">
        <f>M22-N22</f>
        <v/>
      </c>
      <c r="P22" s="5" t="inlineStr">
        <is>
          <t>Amazon</t>
        </is>
      </c>
      <c r="Q22" s="5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 ht="14.25" customHeight="1" s="27" thickBot="1">
      <c r="A23" s="4" t="n">
        <v>43927</v>
      </c>
      <c r="B23" s="5" t="inlineStr">
        <is>
          <t>Inv-2020/079</t>
        </is>
      </c>
      <c r="C23" s="5" t="inlineStr">
        <is>
          <t>Shantanu Naresh Kukreja</t>
        </is>
      </c>
      <c r="D23" s="5" t="inlineStr">
        <is>
          <t>Pune</t>
        </is>
      </c>
      <c r="E23" s="5" t="inlineStr">
        <is>
          <t>Tab-565</t>
        </is>
      </c>
      <c r="F23" s="5" t="inlineStr">
        <is>
          <t>Dining Table 6-seater</t>
        </is>
      </c>
      <c r="G23" s="5" t="inlineStr">
        <is>
          <t>Table</t>
        </is>
      </c>
      <c r="H23" s="5" t="n">
        <v>1</v>
      </c>
      <c r="I23" s="5" t="n">
        <v>32450</v>
      </c>
      <c r="J23" s="6" t="n">
        <v>0</v>
      </c>
      <c r="K23" s="29">
        <f>I23-(I23*J23)</f>
        <v/>
      </c>
      <c r="L23" s="8" t="n">
        <v>0.18</v>
      </c>
      <c r="M23" s="29">
        <f>(K23*L23*H23)+H23*K23</f>
        <v/>
      </c>
      <c r="N23" s="30" t="n">
        <v>0</v>
      </c>
      <c r="O23" s="29">
        <f>M23-N23</f>
        <v/>
      </c>
      <c r="P23" s="5" t="inlineStr">
        <is>
          <t>Store</t>
        </is>
      </c>
      <c r="Q23" s="5" t="inlineStr">
        <is>
          <t>Pune</t>
        </is>
      </c>
      <c r="R23" s="13" t="n"/>
      <c r="S23" s="10" t="n">
        <v>10</v>
      </c>
      <c r="T23" s="11" t="inlineStr">
        <is>
          <t>Calculate the total sales amount (Total with GST)  of Mumbai City</t>
        </is>
      </c>
      <c r="U23" s="31">
        <f>SUMIF(D2:D101,"Mumbai",M2:M101)</f>
        <v/>
      </c>
      <c r="V23" s="13" t="n"/>
      <c r="W23" s="13" t="n"/>
      <c r="X23" s="13" t="n"/>
      <c r="Y23" s="13" t="n"/>
      <c r="Z23" s="13" t="n"/>
    </row>
    <row r="24" ht="14.25" customHeight="1" s="27" thickBot="1">
      <c r="A24" s="4" t="n">
        <v>43929</v>
      </c>
      <c r="B24" s="5" t="inlineStr">
        <is>
          <t>Inv-2020/027</t>
        </is>
      </c>
      <c r="C24" s="5" t="inlineStr">
        <is>
          <t>Chetan Dashrath Shinde</t>
        </is>
      </c>
      <c r="D24" s="5" t="inlineStr">
        <is>
          <t>Bangalore</t>
        </is>
      </c>
      <c r="E24" s="5" t="inlineStr">
        <is>
          <t>Tab-565</t>
        </is>
      </c>
      <c r="F24" s="5" t="inlineStr">
        <is>
          <t>Dining Table 6-seater</t>
        </is>
      </c>
      <c r="G24" s="5" t="inlineStr">
        <is>
          <t>Table</t>
        </is>
      </c>
      <c r="H24" s="5" t="n">
        <v>1</v>
      </c>
      <c r="I24" s="5" t="n">
        <v>32450</v>
      </c>
      <c r="J24" s="6" t="n">
        <v>0.02</v>
      </c>
      <c r="K24" s="29">
        <f>I24-(I24*J24)</f>
        <v/>
      </c>
      <c r="L24" s="8" t="n">
        <v>0.18</v>
      </c>
      <c r="M24" s="29">
        <f>(K24*L24*H24)+H24*K24</f>
        <v/>
      </c>
      <c r="N24" s="30" t="n">
        <v>10131.7986</v>
      </c>
      <c r="O24" s="29">
        <f>M24-N24</f>
        <v/>
      </c>
      <c r="P24" s="5" t="inlineStr">
        <is>
          <t>Flipkart</t>
        </is>
      </c>
      <c r="Q24" s="5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 ht="14.25" customHeight="1" s="27" thickBot="1">
      <c r="A25" s="4" t="n">
        <v>43929</v>
      </c>
      <c r="B25" s="5" t="inlineStr">
        <is>
          <t>Inv-2020/027</t>
        </is>
      </c>
      <c r="C25" s="5" t="inlineStr">
        <is>
          <t>Chetan Dashrath Shinde</t>
        </is>
      </c>
      <c r="D25" s="5" t="inlineStr">
        <is>
          <t>Bangalore</t>
        </is>
      </c>
      <c r="E25" s="5" t="inlineStr">
        <is>
          <t>Sof-268</t>
        </is>
      </c>
      <c r="F25" s="5" t="inlineStr">
        <is>
          <t>Sofa 5-seater</t>
        </is>
      </c>
      <c r="G25" s="5" t="inlineStr">
        <is>
          <t>Sofa</t>
        </is>
      </c>
      <c r="H25" s="5" t="n">
        <v>1</v>
      </c>
      <c r="I25" s="5" t="n">
        <v>76000</v>
      </c>
      <c r="J25" s="6" t="n">
        <v>0</v>
      </c>
      <c r="K25" s="29">
        <f>I25-(I25*J25)</f>
        <v/>
      </c>
      <c r="L25" s="8" t="n">
        <v>0.18</v>
      </c>
      <c r="M25" s="29">
        <f>(K25*L25*H25)+H25*K25</f>
        <v/>
      </c>
      <c r="N25" s="30" t="n">
        <v>24213.6</v>
      </c>
      <c r="O25" s="29">
        <f>M25-N25</f>
        <v/>
      </c>
      <c r="P25" s="5" t="inlineStr">
        <is>
          <t>Flipkart</t>
        </is>
      </c>
      <c r="Q25" s="5" t="n"/>
      <c r="R25" s="13" t="n"/>
      <c r="S25" s="10" t="n">
        <v>11</v>
      </c>
      <c r="T25" s="11" t="inlineStr">
        <is>
          <t>What is the highest revenue generated ?</t>
        </is>
      </c>
      <c r="U25" s="31">
        <f>MAX(O2:O101)</f>
        <v/>
      </c>
      <c r="V25" s="13" t="n"/>
      <c r="W25" s="13" t="n"/>
      <c r="X25" s="13" t="n"/>
      <c r="Y25" s="13" t="n"/>
      <c r="Z25" s="13" t="n"/>
    </row>
    <row r="26" ht="14.25" customHeight="1" s="27" thickBot="1">
      <c r="A26" s="4" t="n">
        <v>43931</v>
      </c>
      <c r="B26" s="5" t="inlineStr">
        <is>
          <t>Inv-2020/010</t>
        </is>
      </c>
      <c r="C26" s="5" t="inlineStr">
        <is>
          <t>Ritika Arjun Fadke</t>
        </is>
      </c>
      <c r="D26" s="5" t="inlineStr">
        <is>
          <t>Pune</t>
        </is>
      </c>
      <c r="E26" s="5" t="inlineStr">
        <is>
          <t>Rec-234</t>
        </is>
      </c>
      <c r="F26" s="5" t="inlineStr">
        <is>
          <t>Leather Recliner</t>
        </is>
      </c>
      <c r="G26" s="5" t="inlineStr">
        <is>
          <t>Sofa</t>
        </is>
      </c>
      <c r="H26" s="5" t="n">
        <v>2</v>
      </c>
      <c r="I26" s="5" t="n">
        <v>29800</v>
      </c>
      <c r="J26" s="6" t="n">
        <v>0</v>
      </c>
      <c r="K26" s="29">
        <f>I26-(I26*J26)</f>
        <v/>
      </c>
      <c r="L26" s="8" t="n">
        <v>0.18</v>
      </c>
      <c r="M26" s="29">
        <f>(K26*L26*H26)+H26*K26</f>
        <v/>
      </c>
      <c r="N26" s="30" t="n">
        <v>0</v>
      </c>
      <c r="O26" s="29">
        <f>M26-N26</f>
        <v/>
      </c>
      <c r="P26" s="5" t="inlineStr">
        <is>
          <t>Website</t>
        </is>
      </c>
      <c r="Q26" s="5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 ht="14.25" customHeight="1" s="27" thickBot="1">
      <c r="A27" s="4" t="n">
        <v>43931</v>
      </c>
      <c r="B27" s="5" t="inlineStr">
        <is>
          <t>Inv-2020/041</t>
        </is>
      </c>
      <c r="C27" s="5" t="inlineStr">
        <is>
          <t>Shubhrata Hanumant Sankhla</t>
        </is>
      </c>
      <c r="D27" s="5" t="inlineStr">
        <is>
          <t>Ahmedabad</t>
        </is>
      </c>
      <c r="E27" s="5" t="inlineStr">
        <is>
          <t>Chr-845</t>
        </is>
      </c>
      <c r="F27" s="5" t="inlineStr">
        <is>
          <t>Arm Chair</t>
        </is>
      </c>
      <c r="G27" s="5" t="inlineStr">
        <is>
          <t>Sofa</t>
        </is>
      </c>
      <c r="H27" s="5" t="n">
        <v>1</v>
      </c>
      <c r="I27" s="5" t="n">
        <v>7000</v>
      </c>
      <c r="J27" s="6" t="n">
        <v>0.05</v>
      </c>
      <c r="K27" s="29">
        <f>I27-(I27*J27)</f>
        <v/>
      </c>
      <c r="L27" s="8" t="n">
        <v>0.18</v>
      </c>
      <c r="M27" s="29">
        <f>(K27*L27*H27)+H27*K27</f>
        <v/>
      </c>
      <c r="N27" s="30" t="n">
        <v>2354.1</v>
      </c>
      <c r="O27" s="29">
        <f>M27-N27</f>
        <v/>
      </c>
      <c r="P27" s="5" t="inlineStr">
        <is>
          <t>Amazon</t>
        </is>
      </c>
      <c r="Q27" s="5" t="n"/>
      <c r="R27" s="13" t="n"/>
      <c r="S27" s="10" t="n">
        <v>12</v>
      </c>
      <c r="T27" s="11" t="inlineStr">
        <is>
          <t>What is the total discount amount?</t>
        </is>
      </c>
      <c r="U27" s="31">
        <f>SUMPRODUCT(H2:H101,I2:I101,J2:J101)</f>
        <v/>
      </c>
      <c r="V27" s="13" t="n"/>
      <c r="W27" s="13" t="n"/>
      <c r="X27" s="13" t="n"/>
      <c r="Y27" s="13" t="n"/>
      <c r="Z27" s="13" t="n"/>
    </row>
    <row r="28" ht="14.25" customHeight="1" s="27" thickBot="1">
      <c r="A28" s="4" t="n">
        <v>43931</v>
      </c>
      <c r="B28" s="5" t="inlineStr">
        <is>
          <t>Inv-2020/041</t>
        </is>
      </c>
      <c r="C28" s="5" t="inlineStr">
        <is>
          <t>Shubhrata Hanumant Sankhla</t>
        </is>
      </c>
      <c r="D28" s="5" t="inlineStr">
        <is>
          <t>Ahmedabad</t>
        </is>
      </c>
      <c r="E28" s="5" t="inlineStr">
        <is>
          <t>Sof-267</t>
        </is>
      </c>
      <c r="F28" s="5" t="inlineStr">
        <is>
          <t>Sofa 3-seater</t>
        </is>
      </c>
      <c r="G28" s="5" t="inlineStr">
        <is>
          <t>Sofa</t>
        </is>
      </c>
      <c r="H28" s="5" t="n">
        <v>1</v>
      </c>
      <c r="I28" s="5" t="n">
        <v>53000</v>
      </c>
      <c r="J28" s="6" t="n">
        <v>0.05</v>
      </c>
      <c r="K28" s="29">
        <f>I28-(I28*J28)</f>
        <v/>
      </c>
      <c r="L28" s="8" t="n">
        <v>0.18</v>
      </c>
      <c r="M28" s="29">
        <f>(K28*L28*H28)+H28*K28</f>
        <v/>
      </c>
      <c r="N28" s="30" t="n">
        <v>17823.9</v>
      </c>
      <c r="O28" s="29">
        <f>M28-N28</f>
        <v/>
      </c>
      <c r="P28" s="5" t="inlineStr">
        <is>
          <t>Amazon</t>
        </is>
      </c>
      <c r="Q28" s="5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 ht="14.25" customHeight="1" s="27" thickBot="1">
      <c r="A29" s="4" t="n">
        <v>43931</v>
      </c>
      <c r="B29" s="5" t="inlineStr">
        <is>
          <t>Inv-2020/053</t>
        </is>
      </c>
      <c r="C29" s="5" t="inlineStr">
        <is>
          <t>Murtaza Kaur Parmar</t>
        </is>
      </c>
      <c r="D29" s="5" t="inlineStr">
        <is>
          <t>Ahmedabad</t>
        </is>
      </c>
      <c r="E29" s="5" t="inlineStr">
        <is>
          <t>Sof-268</t>
        </is>
      </c>
      <c r="F29" s="5" t="inlineStr">
        <is>
          <t>Sofa 5-seater</t>
        </is>
      </c>
      <c r="G29" s="5" t="inlineStr">
        <is>
          <t>Sofa</t>
        </is>
      </c>
      <c r="H29" s="5" t="n">
        <v>1</v>
      </c>
      <c r="I29" s="5" t="n">
        <v>76000</v>
      </c>
      <c r="J29" s="6" t="n">
        <v>0.03</v>
      </c>
      <c r="K29" s="29">
        <f>I29-(I29*J29)</f>
        <v/>
      </c>
      <c r="L29" s="8" t="n">
        <v>0.18</v>
      </c>
      <c r="M29" s="29">
        <f>(K29*L29*H29)+H29*K29</f>
        <v/>
      </c>
      <c r="N29" s="30" t="n">
        <v>23487.192</v>
      </c>
      <c r="O29" s="29">
        <f>M29-N29</f>
        <v/>
      </c>
      <c r="P29" s="5" t="inlineStr">
        <is>
          <t>Flipkart</t>
        </is>
      </c>
      <c r="Q29" s="5" t="n"/>
      <c r="R29" s="13" t="n"/>
      <c r="S29" s="10" t="n">
        <v>13</v>
      </c>
      <c r="T29" s="11" t="inlineStr">
        <is>
          <t>Calculate the average price of products sold across all invoices</t>
        </is>
      </c>
      <c r="U29" s="31">
        <f>AVERAGE(I2:I101)</f>
        <v/>
      </c>
      <c r="V29" s="13" t="n"/>
      <c r="W29" s="13" t="n"/>
      <c r="X29" s="13" t="n"/>
      <c r="Y29" s="13" t="n"/>
      <c r="Z29" s="13" t="n"/>
    </row>
    <row r="30" ht="14.25" customHeight="1" s="27">
      <c r="A30" s="4" t="n">
        <v>43943</v>
      </c>
      <c r="B30" s="5" t="inlineStr">
        <is>
          <t>Inv-2020/081</t>
        </is>
      </c>
      <c r="C30" s="5" t="inlineStr">
        <is>
          <t>Sahil Omprakash Kotak</t>
        </is>
      </c>
      <c r="D30" s="5" t="inlineStr">
        <is>
          <t>Mumbai</t>
        </is>
      </c>
      <c r="E30" s="5" t="inlineStr">
        <is>
          <t>Tab-564</t>
        </is>
      </c>
      <c r="F30" s="5" t="inlineStr">
        <is>
          <t>Dining Table 4-seater</t>
        </is>
      </c>
      <c r="G30" s="5" t="inlineStr">
        <is>
          <t>Table</t>
        </is>
      </c>
      <c r="H30" s="5" t="n">
        <v>1</v>
      </c>
      <c r="I30" s="5" t="n">
        <v>24500</v>
      </c>
      <c r="J30" s="6" t="n">
        <v>0.05</v>
      </c>
      <c r="K30" s="29">
        <f>I30-(I30*J30)</f>
        <v/>
      </c>
      <c r="L30" s="8" t="n">
        <v>0.18</v>
      </c>
      <c r="M30" s="29">
        <f>(K30*L30*H30)+H30*K30</f>
        <v/>
      </c>
      <c r="N30" s="30" t="n">
        <v>0</v>
      </c>
      <c r="O30" s="29">
        <f>M30-N30</f>
        <v/>
      </c>
      <c r="P30" s="5" t="inlineStr">
        <is>
          <t>Store</t>
        </is>
      </c>
      <c r="Q30" s="5" t="inlineStr">
        <is>
          <t>Mumbai</t>
        </is>
      </c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 ht="14.25" customHeight="1" s="27" thickBot="1">
      <c r="A31" s="4" t="n">
        <v>43952</v>
      </c>
      <c r="B31" s="5" t="inlineStr">
        <is>
          <t>Inv-2020/033</t>
        </is>
      </c>
      <c r="C31" s="5" t="inlineStr">
        <is>
          <t>Akash Dinesh Shah</t>
        </is>
      </c>
      <c r="D31" s="5" t="inlineStr">
        <is>
          <t>Mumbai</t>
        </is>
      </c>
      <c r="E31" s="5" t="inlineStr">
        <is>
          <t>Chr-845</t>
        </is>
      </c>
      <c r="F31" s="5" t="inlineStr">
        <is>
          <t>Arm Chair</t>
        </is>
      </c>
      <c r="G31" s="5" t="inlineStr">
        <is>
          <t>Sofa</t>
        </is>
      </c>
      <c r="H31" s="5" t="n">
        <v>1</v>
      </c>
      <c r="I31" s="5" t="n">
        <v>7000</v>
      </c>
      <c r="J31" s="6" t="n">
        <v>0.02</v>
      </c>
      <c r="K31" s="29">
        <f>I31-(I31*J31)</f>
        <v/>
      </c>
      <c r="L31" s="8" t="n">
        <v>0.18</v>
      </c>
      <c r="M31" s="29">
        <f>(K31*L31*H31)+H31*K31</f>
        <v/>
      </c>
      <c r="N31" s="30" t="n">
        <v>0</v>
      </c>
      <c r="O31" s="29">
        <f>M31-N31</f>
        <v/>
      </c>
      <c r="P31" s="5" t="inlineStr">
        <is>
          <t>Store</t>
        </is>
      </c>
      <c r="Q31" s="5" t="inlineStr">
        <is>
          <t>Mumbai</t>
        </is>
      </c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 ht="14.25" customHeight="1" s="27" thickBot="1">
      <c r="A32" s="4" t="n">
        <v>43952</v>
      </c>
      <c r="B32" s="5" t="inlineStr">
        <is>
          <t>Inv-2020/063</t>
        </is>
      </c>
      <c r="C32" s="5" t="inlineStr">
        <is>
          <t>Chaitanya Mahavir Mulik</t>
        </is>
      </c>
      <c r="D32" s="5" t="inlineStr">
        <is>
          <t>Pune</t>
        </is>
      </c>
      <c r="E32" s="5" t="inlineStr">
        <is>
          <t>Chr-845</t>
        </is>
      </c>
      <c r="F32" s="5" t="inlineStr">
        <is>
          <t>Arm Chair</t>
        </is>
      </c>
      <c r="G32" s="5" t="inlineStr">
        <is>
          <t>Sofa</t>
        </is>
      </c>
      <c r="H32" s="5" t="n">
        <v>1</v>
      </c>
      <c r="I32" s="5" t="n">
        <v>7000</v>
      </c>
      <c r="J32" s="6" t="n">
        <v>0.01</v>
      </c>
      <c r="K32" s="29">
        <f>I32-(I32*J32)</f>
        <v/>
      </c>
      <c r="L32" s="8" t="n">
        <v>0.18</v>
      </c>
      <c r="M32" s="29">
        <f>(K32*L32*H32)+H32*K32</f>
        <v/>
      </c>
      <c r="N32" s="30" t="n">
        <v>0</v>
      </c>
      <c r="O32" s="29">
        <f>M32-N32</f>
        <v/>
      </c>
      <c r="P32" s="5" t="inlineStr">
        <is>
          <t>Store</t>
        </is>
      </c>
      <c r="Q32" s="5" t="inlineStr">
        <is>
          <t>Pune</t>
        </is>
      </c>
      <c r="R32" s="13" t="n"/>
      <c r="S32" s="10" t="n">
        <v>14</v>
      </c>
      <c r="T32" s="11" t="inlineStr">
        <is>
          <t>Determine the total GST amount collected across all invoices. What percentage of the total sales amount does this represent?</t>
        </is>
      </c>
      <c r="U32" s="31">
        <f>SUMPRODUCT(H2:H101,K2:K101,L2:L101)</f>
        <v/>
      </c>
      <c r="V32" s="34">
        <f>U32/SUM(M2:M101)</f>
        <v/>
      </c>
      <c r="W32" s="13" t="n"/>
      <c r="X32" s="13" t="n"/>
      <c r="Y32" s="13" t="n"/>
      <c r="Z32" s="13" t="n"/>
    </row>
    <row r="33" ht="14.25" customHeight="1" s="27" thickBot="1">
      <c r="A33" s="4" t="n">
        <v>43953</v>
      </c>
      <c r="B33" s="5" t="inlineStr">
        <is>
          <t>Inv-2020/074</t>
        </is>
      </c>
      <c r="C33" s="5" t="inlineStr">
        <is>
          <t>Vaishnavi Muley Lahoti</t>
        </is>
      </c>
      <c r="D33" s="5" t="inlineStr">
        <is>
          <t>Mumbai</t>
        </is>
      </c>
      <c r="E33" s="5" t="inlineStr">
        <is>
          <t>Rec-234</t>
        </is>
      </c>
      <c r="F33" s="5" t="inlineStr">
        <is>
          <t>Leather Recliner</t>
        </is>
      </c>
      <c r="G33" s="5" t="inlineStr">
        <is>
          <t>Sofa</t>
        </is>
      </c>
      <c r="H33" s="5" t="n">
        <v>1</v>
      </c>
      <c r="I33" s="5" t="n">
        <v>29800</v>
      </c>
      <c r="J33" s="6" t="n">
        <v>0.05</v>
      </c>
      <c r="K33" s="29">
        <f>I33-(I33*J33)</f>
        <v/>
      </c>
      <c r="L33" s="8" t="n">
        <v>0.18</v>
      </c>
      <c r="M33" s="29">
        <f>(K33*L33*H33)+H33*K33</f>
        <v/>
      </c>
      <c r="N33" s="30" t="n">
        <v>0</v>
      </c>
      <c r="O33" s="29">
        <f>M33-N33</f>
        <v/>
      </c>
      <c r="P33" s="5" t="inlineStr">
        <is>
          <t>Store</t>
        </is>
      </c>
      <c r="Q33" s="5" t="inlineStr">
        <is>
          <t>Mumbai</t>
        </is>
      </c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 ht="14.25" customHeight="1" s="27" thickBot="1">
      <c r="A34" s="4" t="n">
        <v>43954</v>
      </c>
      <c r="B34" s="5" t="inlineStr">
        <is>
          <t>Inv-2020/052</t>
        </is>
      </c>
      <c r="C34" s="5" t="inlineStr">
        <is>
          <t>Neil Kailash Patil</t>
        </is>
      </c>
      <c r="D34" s="5" t="inlineStr">
        <is>
          <t>Ahmedabad</t>
        </is>
      </c>
      <c r="E34" s="5" t="inlineStr">
        <is>
          <t>Tab-565</t>
        </is>
      </c>
      <c r="F34" s="5" t="inlineStr">
        <is>
          <t>Dining Table 6-seater</t>
        </is>
      </c>
      <c r="G34" s="5" t="inlineStr">
        <is>
          <t>Table</t>
        </is>
      </c>
      <c r="H34" s="5" t="n">
        <v>1</v>
      </c>
      <c r="I34" s="5" t="n">
        <v>32450</v>
      </c>
      <c r="J34" s="6" t="n">
        <v>0</v>
      </c>
      <c r="K34" s="29">
        <f>I34-(I34*J34)</f>
        <v/>
      </c>
      <c r="L34" s="8" t="n">
        <v>0.18</v>
      </c>
      <c r="M34" s="29">
        <f>(K34*L34*H34)+H34*K34</f>
        <v/>
      </c>
      <c r="N34" s="30" t="n">
        <v>0</v>
      </c>
      <c r="O34" s="29">
        <f>M34-N34</f>
        <v/>
      </c>
      <c r="P34" s="5" t="inlineStr">
        <is>
          <t>Website</t>
        </is>
      </c>
      <c r="Q34" s="5" t="n"/>
      <c r="R34" s="13" t="n"/>
      <c r="S34" s="10" t="n">
        <v>15</v>
      </c>
      <c r="T34" s="11" t="inlineStr">
        <is>
          <t>How many invoices were issued for 01-Jan-2020 to 01-Feb-2020  month?</t>
        </is>
      </c>
      <c r="U34" s="35">
        <f>COUNTIFS(A2:A101,"&gt;="&amp;DATE(2020,1,1),A2:A101,"&lt;="&amp;DATE(2020,2,1))</f>
        <v/>
      </c>
      <c r="V34" s="13" t="n"/>
      <c r="W34" s="13" t="n"/>
      <c r="X34" s="13" t="n"/>
      <c r="Y34" s="13" t="n"/>
      <c r="Z34" s="13" t="n"/>
    </row>
    <row r="35" ht="14.25" customHeight="1" s="27">
      <c r="A35" s="4" t="n">
        <v>43958</v>
      </c>
      <c r="B35" s="5" t="inlineStr">
        <is>
          <t>Inv-2020/035</t>
        </is>
      </c>
      <c r="C35" s="5" t="inlineStr">
        <is>
          <t>Yogesh Gajendra Shah</t>
        </is>
      </c>
      <c r="D35" s="5" t="inlineStr">
        <is>
          <t>Mumbai</t>
        </is>
      </c>
      <c r="E35" s="5" t="inlineStr">
        <is>
          <t>Sof-267</t>
        </is>
      </c>
      <c r="F35" s="5" t="inlineStr">
        <is>
          <t>Sofa 3-seater</t>
        </is>
      </c>
      <c r="G35" s="5" t="inlineStr">
        <is>
          <t>Sofa</t>
        </is>
      </c>
      <c r="H35" s="5" t="n">
        <v>1</v>
      </c>
      <c r="I35" s="5" t="n">
        <v>53000</v>
      </c>
      <c r="J35" s="6" t="n">
        <v>0.04</v>
      </c>
      <c r="K35" s="29">
        <f>I35-(I35*J35)</f>
        <v/>
      </c>
      <c r="L35" s="8" t="n">
        <v>0.18</v>
      </c>
      <c r="M35" s="29">
        <f>(K35*L35*H35)+H35*K35</f>
        <v/>
      </c>
      <c r="N35" s="30" t="n">
        <v>0</v>
      </c>
      <c r="O35" s="29">
        <f>M35-N35</f>
        <v/>
      </c>
      <c r="P35" s="5" t="inlineStr">
        <is>
          <t>Store</t>
        </is>
      </c>
      <c r="Q35" s="5" t="inlineStr">
        <is>
          <t>Mumbai</t>
        </is>
      </c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 ht="14.25" customHeight="1" s="27">
      <c r="A36" s="4" t="n">
        <v>43965</v>
      </c>
      <c r="B36" s="5" t="inlineStr">
        <is>
          <t>Inv-2020/044</t>
        </is>
      </c>
      <c r="C36" s="5" t="inlineStr">
        <is>
          <t>Ruchira Hussain Reddy</t>
        </is>
      </c>
      <c r="D36" s="5" t="inlineStr">
        <is>
          <t>Ahmedabad</t>
        </is>
      </c>
      <c r="E36" s="5" t="inlineStr">
        <is>
          <t>Sof-267</t>
        </is>
      </c>
      <c r="F36" s="5" t="inlineStr">
        <is>
          <t>Sofa 3-seater</t>
        </is>
      </c>
      <c r="G36" s="5" t="inlineStr">
        <is>
          <t>Sofa</t>
        </is>
      </c>
      <c r="H36" s="5" t="n">
        <v>1</v>
      </c>
      <c r="I36" s="5" t="n">
        <v>53000</v>
      </c>
      <c r="J36" s="6" t="n">
        <v>0</v>
      </c>
      <c r="K36" s="29">
        <f>I36-(I36*J36)</f>
        <v/>
      </c>
      <c r="L36" s="8" t="n">
        <v>0.18</v>
      </c>
      <c r="M36" s="29">
        <f>(K36*L36*H36)+H36*K36</f>
        <v/>
      </c>
      <c r="N36" s="30" t="n">
        <v>16885.8</v>
      </c>
      <c r="O36" s="29">
        <f>M36-N36</f>
        <v/>
      </c>
      <c r="P36" s="5" t="inlineStr">
        <is>
          <t>Flipkart</t>
        </is>
      </c>
      <c r="Q36" s="5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 ht="14.25" customHeight="1" s="27">
      <c r="A37" s="4" t="n">
        <v>43968</v>
      </c>
      <c r="B37" s="5" t="inlineStr">
        <is>
          <t>Inv-2020/070</t>
        </is>
      </c>
      <c r="C37" s="5" t="inlineStr">
        <is>
          <t>Akshay Manoj Malu</t>
        </is>
      </c>
      <c r="D37" s="5" t="inlineStr">
        <is>
          <t>Pune</t>
        </is>
      </c>
      <c r="E37" s="5" t="inlineStr">
        <is>
          <t>Chr-845</t>
        </is>
      </c>
      <c r="F37" s="5" t="inlineStr">
        <is>
          <t>Arm Chair</t>
        </is>
      </c>
      <c r="G37" s="5" t="inlineStr">
        <is>
          <t>Sofa</t>
        </is>
      </c>
      <c r="H37" s="5" t="n">
        <v>1</v>
      </c>
      <c r="I37" s="5" t="n">
        <v>7000</v>
      </c>
      <c r="J37" s="6" t="n">
        <v>0.01</v>
      </c>
      <c r="K37" s="29">
        <f>I37-(I37*J37)</f>
        <v/>
      </c>
      <c r="L37" s="8" t="n">
        <v>0.18</v>
      </c>
      <c r="M37" s="29">
        <f>(K37*L37*H37)+H37*K37</f>
        <v/>
      </c>
      <c r="N37" s="30" t="n">
        <v>0</v>
      </c>
      <c r="O37" s="29">
        <f>M37-N37</f>
        <v/>
      </c>
      <c r="P37" s="5" t="inlineStr">
        <is>
          <t>Store</t>
        </is>
      </c>
      <c r="Q37" s="5" t="inlineStr">
        <is>
          <t>Pune</t>
        </is>
      </c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 ht="14.25" customHeight="1" s="27">
      <c r="A38" s="4" t="n">
        <v>43968</v>
      </c>
      <c r="B38" s="5" t="inlineStr">
        <is>
          <t>Inv-2020/077</t>
        </is>
      </c>
      <c r="C38" s="5" t="inlineStr">
        <is>
          <t>Shubhada Nanaso Kulkarni</t>
        </is>
      </c>
      <c r="D38" s="5" t="inlineStr">
        <is>
          <t>Mumbai</t>
        </is>
      </c>
      <c r="E38" s="5" t="inlineStr">
        <is>
          <t>Tab-565</t>
        </is>
      </c>
      <c r="F38" s="5" t="inlineStr">
        <is>
          <t>Dining Table 6-seater</t>
        </is>
      </c>
      <c r="G38" s="5" t="inlineStr">
        <is>
          <t>Table</t>
        </is>
      </c>
      <c r="H38" s="5" t="n">
        <v>1</v>
      </c>
      <c r="I38" s="5" t="n">
        <v>32450</v>
      </c>
      <c r="J38" s="6" t="n">
        <v>0.01</v>
      </c>
      <c r="K38" s="29">
        <f>I38-(I38*J38)</f>
        <v/>
      </c>
      <c r="L38" s="8" t="n">
        <v>0.18</v>
      </c>
      <c r="M38" s="29">
        <f>(K38*L38*H38)+H38*K38</f>
        <v/>
      </c>
      <c r="N38" s="30" t="n">
        <v>0</v>
      </c>
      <c r="O38" s="29">
        <f>M38-N38</f>
        <v/>
      </c>
      <c r="P38" s="5" t="inlineStr">
        <is>
          <t>Store</t>
        </is>
      </c>
      <c r="Q38" s="5" t="inlineStr">
        <is>
          <t>Mumbai</t>
        </is>
      </c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 ht="14.25" customHeight="1" s="27">
      <c r="A39" s="4" t="n">
        <v>43981</v>
      </c>
      <c r="B39" s="5" t="inlineStr">
        <is>
          <t>Inv-2020/008</t>
        </is>
      </c>
      <c r="C39" s="5" t="inlineStr">
        <is>
          <t>Sanket Anil Kelkar</t>
        </is>
      </c>
      <c r="D39" s="5" t="inlineStr">
        <is>
          <t>Pune</t>
        </is>
      </c>
      <c r="E39" s="5" t="inlineStr">
        <is>
          <t>Cab-265</t>
        </is>
      </c>
      <c r="F39" s="5" t="inlineStr">
        <is>
          <t>TV Cabinet</t>
        </is>
      </c>
      <c r="G39" s="5" t="inlineStr">
        <is>
          <t>Cabinet</t>
        </is>
      </c>
      <c r="H39" s="5" t="n">
        <v>1</v>
      </c>
      <c r="I39" s="5" t="n">
        <v>12450</v>
      </c>
      <c r="J39" s="6" t="n">
        <v>0.03</v>
      </c>
      <c r="K39" s="29">
        <f>I39-(I39*J39)</f>
        <v/>
      </c>
      <c r="L39" s="8" t="n">
        <v>0.18</v>
      </c>
      <c r="M39" s="29">
        <f>(K39*L39*H39)+H39*K39</f>
        <v/>
      </c>
      <c r="N39" s="30" t="n">
        <v>0</v>
      </c>
      <c r="O39" s="29">
        <f>M39-N39</f>
        <v/>
      </c>
      <c r="P39" s="5" t="inlineStr">
        <is>
          <t>Store</t>
        </is>
      </c>
      <c r="Q39" s="5" t="inlineStr">
        <is>
          <t>Pune</t>
        </is>
      </c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 ht="14.25" customHeight="1" s="27">
      <c r="A40" s="4" t="n">
        <v>43987</v>
      </c>
      <c r="B40" s="5" t="inlineStr">
        <is>
          <t>Inv-2020/013</t>
        </is>
      </c>
      <c r="C40" s="5" t="inlineStr">
        <is>
          <t>Priyanka Ashok Mittal</t>
        </is>
      </c>
      <c r="D40" s="5" t="inlineStr">
        <is>
          <t>Pune</t>
        </is>
      </c>
      <c r="E40" s="5" t="inlineStr">
        <is>
          <t>Chr-845</t>
        </is>
      </c>
      <c r="F40" s="5" t="inlineStr">
        <is>
          <t>Arm Chair</t>
        </is>
      </c>
      <c r="G40" s="5" t="inlineStr">
        <is>
          <t>Sofa</t>
        </is>
      </c>
      <c r="H40" s="5" t="n">
        <v>3</v>
      </c>
      <c r="I40" s="5" t="n">
        <v>7000</v>
      </c>
      <c r="J40" s="6" t="n">
        <v>0.01</v>
      </c>
      <c r="K40" s="29">
        <f>I40-(I40*J40)</f>
        <v/>
      </c>
      <c r="L40" s="8" t="n">
        <v>0.18</v>
      </c>
      <c r="M40" s="29">
        <f>(K40*L40*H40)+H40*K40</f>
        <v/>
      </c>
      <c r="N40" s="30" t="n">
        <v>7359.66</v>
      </c>
      <c r="O40" s="29">
        <f>M40-N40</f>
        <v/>
      </c>
      <c r="P40" s="5" t="inlineStr">
        <is>
          <t>Amazon</t>
        </is>
      </c>
      <c r="Q40" s="5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 ht="14.25" customHeight="1" s="27">
      <c r="A41" s="4" t="n">
        <v>43987</v>
      </c>
      <c r="B41" s="5" t="inlineStr">
        <is>
          <t>Inv-2020/031</t>
        </is>
      </c>
      <c r="C41" s="5" t="inlineStr">
        <is>
          <t>Ayodhya Deepak Shende</t>
        </is>
      </c>
      <c r="D41" s="5" t="inlineStr">
        <is>
          <t>Pune</t>
        </is>
      </c>
      <c r="E41" s="5" t="inlineStr">
        <is>
          <t>Chr-845</t>
        </is>
      </c>
      <c r="F41" s="5" t="inlineStr">
        <is>
          <t>Arm Chair</t>
        </is>
      </c>
      <c r="G41" s="5" t="inlineStr">
        <is>
          <t>Sofa</t>
        </is>
      </c>
      <c r="H41" s="5" t="n">
        <v>1</v>
      </c>
      <c r="I41" s="5" t="n">
        <v>7000</v>
      </c>
      <c r="J41" s="6" t="n">
        <v>0.01</v>
      </c>
      <c r="K41" s="29">
        <f>I41-(I41*J41)</f>
        <v/>
      </c>
      <c r="L41" s="8" t="n">
        <v>0.18</v>
      </c>
      <c r="M41" s="29">
        <f>(K41*L41*H41)+H41*K41</f>
        <v/>
      </c>
      <c r="N41" s="30" t="n">
        <v>0</v>
      </c>
      <c r="O41" s="29">
        <f>M41-N41</f>
        <v/>
      </c>
      <c r="P41" s="5" t="inlineStr">
        <is>
          <t>Store</t>
        </is>
      </c>
      <c r="Q41" s="5" t="inlineStr">
        <is>
          <t>Pune</t>
        </is>
      </c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 ht="14.25" customHeight="1" s="27">
      <c r="A42" s="4" t="n">
        <v>43988</v>
      </c>
      <c r="B42" s="5" t="inlineStr">
        <is>
          <t>Inv-2020/032</t>
        </is>
      </c>
      <c r="C42" s="5" t="inlineStr">
        <is>
          <t>Akshat Dilip Shah</t>
        </is>
      </c>
      <c r="D42" s="5" t="inlineStr">
        <is>
          <t>Bangalore</t>
        </is>
      </c>
      <c r="E42" s="5" t="inlineStr">
        <is>
          <t>Cab-265</t>
        </is>
      </c>
      <c r="F42" s="5" t="inlineStr">
        <is>
          <t>TV Cabinet</t>
        </is>
      </c>
      <c r="G42" s="5" t="inlineStr">
        <is>
          <t>Cabinet</t>
        </is>
      </c>
      <c r="H42" s="5" t="n">
        <v>1</v>
      </c>
      <c r="I42" s="5" t="n">
        <v>12450</v>
      </c>
      <c r="J42" s="6" t="n">
        <v>0.02</v>
      </c>
      <c r="K42" s="29">
        <f>I42-(I42*J42)</f>
        <v/>
      </c>
      <c r="L42" s="8" t="n">
        <v>0.18</v>
      </c>
      <c r="M42" s="29">
        <f>(K42*L42*H42)+H42*K42</f>
        <v/>
      </c>
      <c r="N42" s="30" t="n">
        <v>4319.154</v>
      </c>
      <c r="O42" s="29">
        <f>M42-N42</f>
        <v/>
      </c>
      <c r="P42" s="5" t="inlineStr">
        <is>
          <t>Amazon</t>
        </is>
      </c>
      <c r="Q42" s="5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 ht="14.25" customHeight="1" s="27">
      <c r="A43" s="4" t="n">
        <v>43988</v>
      </c>
      <c r="B43" s="5" t="inlineStr">
        <is>
          <t>Inv-2020/032</t>
        </is>
      </c>
      <c r="C43" s="5" t="inlineStr">
        <is>
          <t>Akshat Dilip Shah</t>
        </is>
      </c>
      <c r="D43" s="5" t="inlineStr">
        <is>
          <t>Bangalore</t>
        </is>
      </c>
      <c r="E43" s="5" t="inlineStr">
        <is>
          <t>Tab-564</t>
        </is>
      </c>
      <c r="F43" s="5" t="inlineStr">
        <is>
          <t>Dining Table 4-seater</t>
        </is>
      </c>
      <c r="G43" s="5" t="inlineStr">
        <is>
          <t>Table</t>
        </is>
      </c>
      <c r="H43" s="5" t="n">
        <v>1</v>
      </c>
      <c r="I43" s="5" t="n">
        <v>24500</v>
      </c>
      <c r="J43" s="6" t="n">
        <v>0.03</v>
      </c>
      <c r="K43" s="29">
        <f>I43-(I43*J43)</f>
        <v/>
      </c>
      <c r="L43" s="8" t="n">
        <v>0.18</v>
      </c>
      <c r="M43" s="29">
        <f>(K43*L43*H43)+H43*K43</f>
        <v/>
      </c>
      <c r="N43" s="30" t="n">
        <v>8412.809999999999</v>
      </c>
      <c r="O43" s="29">
        <f>M43-N43</f>
        <v/>
      </c>
      <c r="P43" s="5" t="inlineStr">
        <is>
          <t>Amazon</t>
        </is>
      </c>
      <c r="Q43" s="5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 ht="14.25" customHeight="1" s="27">
      <c r="A44" s="4" t="n">
        <v>43988</v>
      </c>
      <c r="B44" s="5" t="inlineStr">
        <is>
          <t>Inv-2020/032</t>
        </is>
      </c>
      <c r="C44" s="5" t="inlineStr">
        <is>
          <t>Akshat Dilip Shah</t>
        </is>
      </c>
      <c r="D44" s="5" t="inlineStr">
        <is>
          <t>Bangalore</t>
        </is>
      </c>
      <c r="E44" s="5" t="inlineStr">
        <is>
          <t>Sof-268</t>
        </is>
      </c>
      <c r="F44" s="5" t="inlineStr">
        <is>
          <t>Sofa 5-seater</t>
        </is>
      </c>
      <c r="G44" s="5" t="inlineStr">
        <is>
          <t>Sofa</t>
        </is>
      </c>
      <c r="H44" s="5" t="n">
        <v>1</v>
      </c>
      <c r="I44" s="5" t="n">
        <v>76000</v>
      </c>
      <c r="J44" s="6" t="n">
        <v>0.03</v>
      </c>
      <c r="K44" s="29">
        <f>I44-(I44*J44)</f>
        <v/>
      </c>
      <c r="L44" s="8" t="n">
        <v>0.18</v>
      </c>
      <c r="M44" s="29">
        <f>(K44*L44*H44)+H44*K44</f>
        <v/>
      </c>
      <c r="N44" s="30" t="n">
        <v>26096.88</v>
      </c>
      <c r="O44" s="29">
        <f>M44-N44</f>
        <v/>
      </c>
      <c r="P44" s="5" t="inlineStr">
        <is>
          <t>Amazon</t>
        </is>
      </c>
      <c r="Q44" s="5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 ht="14.25" customHeight="1" s="27">
      <c r="A45" s="4" t="n">
        <v>43988</v>
      </c>
      <c r="B45" s="5" t="inlineStr">
        <is>
          <t>Inv-2020/050</t>
        </is>
      </c>
      <c r="C45" s="5" t="inlineStr">
        <is>
          <t>Poonam Jitendra Pote</t>
        </is>
      </c>
      <c r="D45" s="5" t="inlineStr">
        <is>
          <t>Ahmedabad</t>
        </is>
      </c>
      <c r="E45" s="5" t="inlineStr">
        <is>
          <t>Tab-565</t>
        </is>
      </c>
      <c r="F45" s="5" t="inlineStr">
        <is>
          <t>Dining Table 6-seater</t>
        </is>
      </c>
      <c r="G45" s="5" t="inlineStr">
        <is>
          <t>Table</t>
        </is>
      </c>
      <c r="H45" s="5" t="n">
        <v>1</v>
      </c>
      <c r="I45" s="5" t="n">
        <v>32450</v>
      </c>
      <c r="J45" s="6" t="n">
        <v>0.05</v>
      </c>
      <c r="K45" s="29">
        <f>I45-(I45*J45)</f>
        <v/>
      </c>
      <c r="L45" s="8" t="n">
        <v>0.18</v>
      </c>
      <c r="M45" s="29">
        <f>(K45*L45*H45)+H45*K45</f>
        <v/>
      </c>
      <c r="N45" s="30" t="n">
        <v>9821.6415</v>
      </c>
      <c r="O45" s="29">
        <f>M45-N45</f>
        <v/>
      </c>
      <c r="P45" s="5" t="inlineStr">
        <is>
          <t>Flipkart</t>
        </is>
      </c>
      <c r="Q45" s="5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 ht="14.25" customHeight="1" s="27">
      <c r="A46" s="4" t="n">
        <v>43991</v>
      </c>
      <c r="B46" s="5" t="inlineStr">
        <is>
          <t>Inv-2020/012</t>
        </is>
      </c>
      <c r="C46" s="5" t="inlineStr">
        <is>
          <t>Priyanka Ashok Deshpande</t>
        </is>
      </c>
      <c r="D46" s="5" t="inlineStr">
        <is>
          <t>Pune</t>
        </is>
      </c>
      <c r="E46" s="5" t="inlineStr">
        <is>
          <t>Rec-234</t>
        </is>
      </c>
      <c r="F46" s="5" t="inlineStr">
        <is>
          <t>Leather Recliner</t>
        </is>
      </c>
      <c r="G46" s="5" t="inlineStr">
        <is>
          <t>Sofa</t>
        </is>
      </c>
      <c r="H46" s="5" t="n">
        <v>1</v>
      </c>
      <c r="I46" s="5" t="n">
        <v>29800</v>
      </c>
      <c r="J46" s="6" t="n">
        <v>0.01</v>
      </c>
      <c r="K46" s="29">
        <f>I46-(I46*J46)</f>
        <v/>
      </c>
      <c r="L46" s="8" t="n">
        <v>0.18</v>
      </c>
      <c r="M46" s="29">
        <f>(K46*L46*H46)+H46*K46</f>
        <v/>
      </c>
      <c r="N46" s="30" t="n">
        <v>9399.3372</v>
      </c>
      <c r="O46" s="29">
        <f>M46-N46</f>
        <v/>
      </c>
      <c r="P46" s="5" t="inlineStr">
        <is>
          <t>Flipkart</t>
        </is>
      </c>
      <c r="Q46" s="5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 ht="14.25" customHeight="1" s="27">
      <c r="A47" s="4" t="n">
        <v>43991</v>
      </c>
      <c r="B47" s="5" t="inlineStr">
        <is>
          <t>Inv-2020/012</t>
        </is>
      </c>
      <c r="C47" s="5" t="inlineStr">
        <is>
          <t>Priyanka Ashok Deshpande</t>
        </is>
      </c>
      <c r="D47" s="5" t="inlineStr">
        <is>
          <t>Pune</t>
        </is>
      </c>
      <c r="E47" s="5" t="inlineStr">
        <is>
          <t>Tab-565</t>
        </is>
      </c>
      <c r="F47" s="5" t="inlineStr">
        <is>
          <t>Dining Table 6-seater</t>
        </is>
      </c>
      <c r="G47" s="5" t="inlineStr">
        <is>
          <t>Table</t>
        </is>
      </c>
      <c r="H47" s="5" t="n">
        <v>1</v>
      </c>
      <c r="I47" s="5" t="n">
        <v>32450</v>
      </c>
      <c r="J47" s="6" t="n">
        <v>0</v>
      </c>
      <c r="K47" s="29">
        <f>I47-(I47*J47)</f>
        <v/>
      </c>
      <c r="L47" s="8" t="n">
        <v>0.18</v>
      </c>
      <c r="M47" s="29">
        <f>(K47*L47*H47)+H47*K47</f>
        <v/>
      </c>
      <c r="N47" s="30" t="n">
        <v>10338.57</v>
      </c>
      <c r="O47" s="29">
        <f>M47-N47</f>
        <v/>
      </c>
      <c r="P47" s="5" t="inlineStr">
        <is>
          <t>Flipkart</t>
        </is>
      </c>
      <c r="Q47" s="5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 ht="14.25" customHeight="1" s="27">
      <c r="A48" s="4" t="n">
        <v>43993</v>
      </c>
      <c r="B48" s="5" t="inlineStr">
        <is>
          <t>Inv-2020/005</t>
        </is>
      </c>
      <c r="C48" s="5" t="inlineStr">
        <is>
          <t>Sheetal Anand Awalgaonkar</t>
        </is>
      </c>
      <c r="D48" s="5" t="inlineStr">
        <is>
          <t>Mumbai</t>
        </is>
      </c>
      <c r="E48" s="5" t="inlineStr">
        <is>
          <t>Tab-564</t>
        </is>
      </c>
      <c r="F48" s="5" t="inlineStr">
        <is>
          <t>Dining Table 4-seater</t>
        </is>
      </c>
      <c r="G48" s="5" t="inlineStr">
        <is>
          <t>Table</t>
        </is>
      </c>
      <c r="H48" s="5" t="n">
        <v>1</v>
      </c>
      <c r="I48" s="5" t="n">
        <v>24500</v>
      </c>
      <c r="J48" s="6" t="n">
        <v>0.05</v>
      </c>
      <c r="K48" s="29">
        <f>I48-(I48*J48)</f>
        <v/>
      </c>
      <c r="L48" s="8" t="n">
        <v>0.18</v>
      </c>
      <c r="M48" s="29">
        <f>(K48*L48*H48)+H48*K48</f>
        <v/>
      </c>
      <c r="N48" s="30" t="n">
        <v>8239.35</v>
      </c>
      <c r="O48" s="29">
        <f>M48-N48</f>
        <v/>
      </c>
      <c r="P48" s="5" t="inlineStr">
        <is>
          <t>Amazon</t>
        </is>
      </c>
      <c r="Q48" s="5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 ht="14.25" customHeight="1" s="27">
      <c r="A49" s="4" t="n">
        <v>43993</v>
      </c>
      <c r="B49" s="5" t="inlineStr">
        <is>
          <t>Inv-2020/005</t>
        </is>
      </c>
      <c r="C49" s="5" t="inlineStr">
        <is>
          <t>Sheetal Anand Awalgaonkar</t>
        </is>
      </c>
      <c r="D49" s="5" t="inlineStr">
        <is>
          <t>Mumbai</t>
        </is>
      </c>
      <c r="E49" s="5" t="inlineStr">
        <is>
          <t>Rec-234</t>
        </is>
      </c>
      <c r="F49" s="5" t="inlineStr">
        <is>
          <t>Leather Recliner</t>
        </is>
      </c>
      <c r="G49" s="5" t="inlineStr">
        <is>
          <t>Sofa</t>
        </is>
      </c>
      <c r="H49" s="5" t="n">
        <v>1</v>
      </c>
      <c r="I49" s="5" t="n">
        <v>29800</v>
      </c>
      <c r="J49" s="6" t="n">
        <v>0</v>
      </c>
      <c r="K49" s="29">
        <f>I49-(I49*J49)</f>
        <v/>
      </c>
      <c r="L49" s="8" t="n">
        <v>0.18</v>
      </c>
      <c r="M49" s="29">
        <f>(K49*L49*H49)+H49*K49</f>
        <v/>
      </c>
      <c r="N49" s="30" t="n">
        <v>10549.2</v>
      </c>
      <c r="O49" s="29">
        <f>M49-N49</f>
        <v/>
      </c>
      <c r="P49" s="5" t="inlineStr">
        <is>
          <t>Amazon</t>
        </is>
      </c>
      <c r="Q49" s="5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 ht="14.25" customHeight="1" s="27">
      <c r="A50" s="4" t="n">
        <v>43996</v>
      </c>
      <c r="B50" s="5" t="inlineStr">
        <is>
          <t>Inv-2020/042</t>
        </is>
      </c>
      <c r="C50" s="5" t="inlineStr">
        <is>
          <t>Shashwat Haresh Salunke</t>
        </is>
      </c>
      <c r="D50" s="5" t="inlineStr">
        <is>
          <t>Ahmedabad</t>
        </is>
      </c>
      <c r="E50" s="5" t="inlineStr">
        <is>
          <t>Sof-267</t>
        </is>
      </c>
      <c r="F50" s="5" t="inlineStr">
        <is>
          <t>Sofa 3-seater</t>
        </is>
      </c>
      <c r="G50" s="5" t="inlineStr">
        <is>
          <t>Sofa</t>
        </is>
      </c>
      <c r="H50" s="5" t="n">
        <v>1</v>
      </c>
      <c r="I50" s="5" t="n">
        <v>53000</v>
      </c>
      <c r="J50" s="6" t="n">
        <v>0.02</v>
      </c>
      <c r="K50" s="29">
        <f>I50-(I50*J50)</f>
        <v/>
      </c>
      <c r="L50" s="8" t="n">
        <v>0.18</v>
      </c>
      <c r="M50" s="29">
        <f>(K50*L50*H50)+H50*K50</f>
        <v/>
      </c>
      <c r="N50" s="30" t="n">
        <v>0</v>
      </c>
      <c r="O50" s="29">
        <f>M50-N50</f>
        <v/>
      </c>
      <c r="P50" s="5" t="inlineStr">
        <is>
          <t>Website</t>
        </is>
      </c>
      <c r="Q50" s="5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 ht="14.25" customHeight="1" s="27">
      <c r="A51" s="4" t="n">
        <v>43996</v>
      </c>
      <c r="B51" s="5" t="inlineStr">
        <is>
          <t>Inv-2020/042</t>
        </is>
      </c>
      <c r="C51" s="5" t="inlineStr">
        <is>
          <t>Shashwat Haresh Salunke</t>
        </is>
      </c>
      <c r="D51" s="5" t="inlineStr">
        <is>
          <t>Ahmedabad</t>
        </is>
      </c>
      <c r="E51" s="5" t="inlineStr">
        <is>
          <t>Cab-265</t>
        </is>
      </c>
      <c r="F51" s="5" t="inlineStr">
        <is>
          <t>TV Cabinet</t>
        </is>
      </c>
      <c r="G51" s="5" t="inlineStr">
        <is>
          <t>Cabinet</t>
        </is>
      </c>
      <c r="H51" s="5" t="n">
        <v>1</v>
      </c>
      <c r="I51" s="5" t="n">
        <v>12450</v>
      </c>
      <c r="J51" s="6" t="n">
        <v>0</v>
      </c>
      <c r="K51" s="29">
        <f>I51-(I51*J51)</f>
        <v/>
      </c>
      <c r="L51" s="8" t="n">
        <v>0.18</v>
      </c>
      <c r="M51" s="29">
        <f>(K51*L51*H51)+H51*K51</f>
        <v/>
      </c>
      <c r="N51" s="30" t="n">
        <v>0</v>
      </c>
      <c r="O51" s="29">
        <f>M51-N51</f>
        <v/>
      </c>
      <c r="P51" s="5" t="inlineStr">
        <is>
          <t>Website</t>
        </is>
      </c>
      <c r="Q51" s="5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 ht="14.25" customHeight="1" s="27">
      <c r="A52" s="4" t="n">
        <v>44001</v>
      </c>
      <c r="B52" s="5" t="inlineStr">
        <is>
          <t>Inv-2020/007</t>
        </is>
      </c>
      <c r="C52" s="5" t="inlineStr">
        <is>
          <t>Santosh Anandkumar Gadekar</t>
        </is>
      </c>
      <c r="D52" s="5" t="inlineStr">
        <is>
          <t>Mumbai</t>
        </is>
      </c>
      <c r="E52" s="5" t="inlineStr">
        <is>
          <t>Chr-845</t>
        </is>
      </c>
      <c r="F52" s="5" t="inlineStr">
        <is>
          <t>Arm Chair</t>
        </is>
      </c>
      <c r="G52" s="5" t="inlineStr">
        <is>
          <t>Sofa</t>
        </is>
      </c>
      <c r="H52" s="5" t="n">
        <v>1</v>
      </c>
      <c r="I52" s="5" t="n">
        <v>7000</v>
      </c>
      <c r="J52" s="6" t="n">
        <v>0.02</v>
      </c>
      <c r="K52" s="29">
        <f>I52-(I52*J52)</f>
        <v/>
      </c>
      <c r="L52" s="8" t="n">
        <v>0.18</v>
      </c>
      <c r="M52" s="29">
        <f>(K52*L52*H52)+H52*K52</f>
        <v/>
      </c>
      <c r="N52" s="30" t="n">
        <v>2185.596</v>
      </c>
      <c r="O52" s="29">
        <f>M52-N52</f>
        <v/>
      </c>
      <c r="P52" s="5" t="inlineStr">
        <is>
          <t>Flipkart</t>
        </is>
      </c>
      <c r="Q52" s="5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 ht="14.25" customHeight="1" s="27">
      <c r="A53" s="4" t="n">
        <v>44001</v>
      </c>
      <c r="B53" s="5" t="inlineStr">
        <is>
          <t>Inv-2020/021</t>
        </is>
      </c>
      <c r="C53" s="5" t="inlineStr">
        <is>
          <t>Mayur Bhandari Unawane</t>
        </is>
      </c>
      <c r="D53" s="5" t="inlineStr">
        <is>
          <t>Pune</t>
        </is>
      </c>
      <c r="E53" s="5" t="inlineStr">
        <is>
          <t>Tab-565</t>
        </is>
      </c>
      <c r="F53" s="5" t="inlineStr">
        <is>
          <t>Dining Table 6-seater</t>
        </is>
      </c>
      <c r="G53" s="5" t="inlineStr">
        <is>
          <t>Table</t>
        </is>
      </c>
      <c r="H53" s="5" t="n">
        <v>1</v>
      </c>
      <c r="I53" s="5" t="n">
        <v>32450</v>
      </c>
      <c r="J53" s="6" t="n">
        <v>0.02</v>
      </c>
      <c r="K53" s="29">
        <f>I53-(I53*J53)</f>
        <v/>
      </c>
      <c r="L53" s="8" t="n">
        <v>0.18</v>
      </c>
      <c r="M53" s="29">
        <f>(K53*L53*H53)+H53*K53</f>
        <v/>
      </c>
      <c r="N53" s="30" t="n">
        <v>10131.7986</v>
      </c>
      <c r="O53" s="29">
        <f>M53-N53</f>
        <v/>
      </c>
      <c r="P53" s="5" t="inlineStr">
        <is>
          <t>Flipkart</t>
        </is>
      </c>
      <c r="Q53" s="5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 ht="14.25" customHeight="1" s="27">
      <c r="A54" s="4" t="n">
        <v>44003</v>
      </c>
      <c r="B54" s="5" t="inlineStr">
        <is>
          <t>Inv-2020/025</t>
        </is>
      </c>
      <c r="C54" s="5" t="inlineStr">
        <is>
          <t>Hrishikesh Chandrashekhar Shrishrimal</t>
        </is>
      </c>
      <c r="D54" s="5" t="inlineStr">
        <is>
          <t>Mumbai</t>
        </is>
      </c>
      <c r="E54" s="5" t="inlineStr">
        <is>
          <t>Sof-267</t>
        </is>
      </c>
      <c r="F54" s="5" t="inlineStr">
        <is>
          <t>Sofa 3-seater</t>
        </is>
      </c>
      <c r="G54" s="5" t="inlineStr">
        <is>
          <t>Sofa</t>
        </is>
      </c>
      <c r="H54" s="5" t="n">
        <v>1</v>
      </c>
      <c r="I54" s="5" t="n">
        <v>53000</v>
      </c>
      <c r="J54" s="6" t="n">
        <v>0</v>
      </c>
      <c r="K54" s="29">
        <f>I54-(I54*J54)</f>
        <v/>
      </c>
      <c r="L54" s="8" t="n">
        <v>0.18</v>
      </c>
      <c r="M54" s="29">
        <f>(K54*L54*H54)+H54*K54</f>
        <v/>
      </c>
      <c r="N54" s="30" t="n">
        <v>0</v>
      </c>
      <c r="O54" s="29">
        <f>M54-N54</f>
        <v/>
      </c>
      <c r="P54" s="5" t="inlineStr">
        <is>
          <t>Store</t>
        </is>
      </c>
      <c r="Q54" s="5" t="inlineStr">
        <is>
          <t>Mumbai</t>
        </is>
      </c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 ht="14.25" customHeight="1" s="27">
      <c r="A55" s="4" t="n">
        <v>44006</v>
      </c>
      <c r="B55" s="5" t="inlineStr">
        <is>
          <t>Inv-2020/057</t>
        </is>
      </c>
      <c r="C55" s="5" t="inlineStr">
        <is>
          <t>Kawaljeet Kumar Palan</t>
        </is>
      </c>
      <c r="D55" s="5" t="inlineStr">
        <is>
          <t>Bangalore</t>
        </is>
      </c>
      <c r="E55" s="5" t="inlineStr">
        <is>
          <t>Cab-265</t>
        </is>
      </c>
      <c r="F55" s="5" t="inlineStr">
        <is>
          <t>TV Cabinet</t>
        </is>
      </c>
      <c r="G55" s="5" t="inlineStr">
        <is>
          <t>Cabinet</t>
        </is>
      </c>
      <c r="H55" s="5" t="n">
        <v>1</v>
      </c>
      <c r="I55" s="5" t="n">
        <v>12450</v>
      </c>
      <c r="J55" s="6" t="n">
        <v>0.04</v>
      </c>
      <c r="K55" s="29">
        <f>I55-(I55*J55)</f>
        <v/>
      </c>
      <c r="L55" s="8" t="n">
        <v>0.18</v>
      </c>
      <c r="M55" s="29">
        <f>(K55*L55*H55)+H55*K55</f>
        <v/>
      </c>
      <c r="N55" s="30" t="n">
        <v>4231.008</v>
      </c>
      <c r="O55" s="29">
        <f>M55-N55</f>
        <v/>
      </c>
      <c r="P55" s="5" t="inlineStr">
        <is>
          <t>Amazon</t>
        </is>
      </c>
      <c r="Q55" s="5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 ht="14.25" customHeight="1" s="27">
      <c r="A56" s="4" t="n">
        <v>44009</v>
      </c>
      <c r="B56" s="5" t="inlineStr">
        <is>
          <t>Inv-2020/016</t>
        </is>
      </c>
      <c r="C56" s="5" t="inlineStr">
        <is>
          <t>Pratiksha Avinash Wable</t>
        </is>
      </c>
      <c r="D56" s="5" t="inlineStr">
        <is>
          <t>Pune</t>
        </is>
      </c>
      <c r="E56" s="5" t="inlineStr">
        <is>
          <t>Tab-564</t>
        </is>
      </c>
      <c r="F56" s="5" t="inlineStr">
        <is>
          <t>Dining Table 4-seater</t>
        </is>
      </c>
      <c r="G56" s="5" t="inlineStr">
        <is>
          <t>Table</t>
        </is>
      </c>
      <c r="H56" s="5" t="n">
        <v>1</v>
      </c>
      <c r="I56" s="5" t="n">
        <v>24500</v>
      </c>
      <c r="J56" s="6" t="n">
        <v>0.04</v>
      </c>
      <c r="K56" s="29">
        <f>I56-(I56*J56)</f>
        <v/>
      </c>
      <c r="L56" s="8" t="n">
        <v>0.18</v>
      </c>
      <c r="M56" s="29">
        <f>(K56*L56*H56)+H56*K56</f>
        <v/>
      </c>
      <c r="N56" s="30" t="n">
        <v>7493.472</v>
      </c>
      <c r="O56" s="29">
        <f>M56-N56</f>
        <v/>
      </c>
      <c r="P56" s="5" t="inlineStr">
        <is>
          <t>Flipkart</t>
        </is>
      </c>
      <c r="Q56" s="5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 ht="14.25" customHeight="1" s="27">
      <c r="A57" s="4" t="n">
        <v>44009</v>
      </c>
      <c r="B57" s="5" t="inlineStr">
        <is>
          <t>Inv-2020/016</t>
        </is>
      </c>
      <c r="C57" s="5" t="inlineStr">
        <is>
          <t>Pratiksha Avinash Wable</t>
        </is>
      </c>
      <c r="D57" s="5" t="inlineStr">
        <is>
          <t>Pune</t>
        </is>
      </c>
      <c r="E57" s="5" t="inlineStr">
        <is>
          <t>Sof-267</t>
        </is>
      </c>
      <c r="F57" s="5" t="inlineStr">
        <is>
          <t>Sofa 3-seater</t>
        </is>
      </c>
      <c r="G57" s="5" t="inlineStr">
        <is>
          <t>Sofa</t>
        </is>
      </c>
      <c r="H57" s="5" t="n">
        <v>1</v>
      </c>
      <c r="I57" s="5" t="n">
        <v>53000</v>
      </c>
      <c r="J57" s="6" t="n">
        <v>0.05</v>
      </c>
      <c r="K57" s="29">
        <f>I57-(I57*J57)</f>
        <v/>
      </c>
      <c r="L57" s="8" t="n">
        <v>0.18</v>
      </c>
      <c r="M57" s="29">
        <f>(K57*L57*H57)+H57*K57</f>
        <v/>
      </c>
      <c r="N57" s="30" t="n">
        <v>16041.51</v>
      </c>
      <c r="O57" s="29">
        <f>M57-N57</f>
        <v/>
      </c>
      <c r="P57" s="5" t="inlineStr">
        <is>
          <t>Flipkart</t>
        </is>
      </c>
      <c r="Q57" s="5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 ht="14.25" customHeight="1" s="27">
      <c r="A58" s="4" t="n">
        <v>44013</v>
      </c>
      <c r="B58" s="5" t="inlineStr">
        <is>
          <t>Inv-2020/030</t>
        </is>
      </c>
      <c r="C58" s="5" t="inlineStr">
        <is>
          <t>Arjun Deepak Sharma</t>
        </is>
      </c>
      <c r="D58" s="5" t="inlineStr">
        <is>
          <t>Bangalore</t>
        </is>
      </c>
      <c r="E58" s="5" t="inlineStr">
        <is>
          <t>Sof-268</t>
        </is>
      </c>
      <c r="F58" s="5" t="inlineStr">
        <is>
          <t>Sofa 5-seater</t>
        </is>
      </c>
      <c r="G58" s="5" t="inlineStr">
        <is>
          <t>Sofa</t>
        </is>
      </c>
      <c r="H58" s="5" t="n">
        <v>1</v>
      </c>
      <c r="I58" s="5" t="n">
        <v>76000</v>
      </c>
      <c r="J58" s="6" t="n">
        <v>0</v>
      </c>
      <c r="K58" s="29">
        <f>I58-(I58*J58)</f>
        <v/>
      </c>
      <c r="L58" s="8" t="n">
        <v>0.18</v>
      </c>
      <c r="M58" s="29">
        <f>(K58*L58*H58)+H58*K58</f>
        <v/>
      </c>
      <c r="N58" s="30" t="n">
        <v>26904</v>
      </c>
      <c r="O58" s="29">
        <f>M58-N58</f>
        <v/>
      </c>
      <c r="P58" s="5" t="inlineStr">
        <is>
          <t>Amazon</t>
        </is>
      </c>
      <c r="Q58" s="5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 ht="14.25" customHeight="1" s="27">
      <c r="A59" s="4" t="n">
        <v>44017</v>
      </c>
      <c r="B59" s="5" t="inlineStr">
        <is>
          <t>Inv-2020/046</t>
        </is>
      </c>
      <c r="C59" s="5" t="inlineStr">
        <is>
          <t>Pusuluri Jagdish Rathi</t>
        </is>
      </c>
      <c r="D59" s="5" t="inlineStr">
        <is>
          <t>Ahmedabad</t>
        </is>
      </c>
      <c r="E59" s="5" t="inlineStr">
        <is>
          <t>Sof-268</t>
        </is>
      </c>
      <c r="F59" s="5" t="inlineStr">
        <is>
          <t>Sofa 5-seater</t>
        </is>
      </c>
      <c r="G59" s="5" t="inlineStr">
        <is>
          <t>Sofa</t>
        </is>
      </c>
      <c r="H59" s="5" t="n">
        <v>1</v>
      </c>
      <c r="I59" s="5" t="n">
        <v>76000</v>
      </c>
      <c r="J59" s="6" t="n">
        <v>0.05</v>
      </c>
      <c r="K59" s="29">
        <f>I59-(I59*J59)</f>
        <v/>
      </c>
      <c r="L59" s="8" t="n">
        <v>0.18</v>
      </c>
      <c r="M59" s="29">
        <f>(K59*L59*H59)+H59*K59</f>
        <v/>
      </c>
      <c r="N59" s="30" t="n">
        <v>0</v>
      </c>
      <c r="O59" s="29">
        <f>M59-N59</f>
        <v/>
      </c>
      <c r="P59" s="5" t="inlineStr">
        <is>
          <t>Website</t>
        </is>
      </c>
      <c r="Q59" s="5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 ht="14.25" customHeight="1" s="27">
      <c r="A60" s="4" t="n">
        <v>44018</v>
      </c>
      <c r="B60" s="5" t="inlineStr">
        <is>
          <t>Inv-2020/014</t>
        </is>
      </c>
      <c r="C60" s="5" t="inlineStr">
        <is>
          <t>Priyanka Ashok Yeole</t>
        </is>
      </c>
      <c r="D60" s="5" t="inlineStr">
        <is>
          <t>Mumbai</t>
        </is>
      </c>
      <c r="E60" s="5" t="inlineStr">
        <is>
          <t>Rec-234</t>
        </is>
      </c>
      <c r="F60" s="5" t="inlineStr">
        <is>
          <t>Leather Recliner</t>
        </is>
      </c>
      <c r="G60" s="5" t="inlineStr">
        <is>
          <t>Sofa</t>
        </is>
      </c>
      <c r="H60" s="5" t="n">
        <v>1</v>
      </c>
      <c r="I60" s="5" t="n">
        <v>29800</v>
      </c>
      <c r="J60" s="6" t="n">
        <v>0.04</v>
      </c>
      <c r="K60" s="29">
        <f>I60-(I60*J60)</f>
        <v/>
      </c>
      <c r="L60" s="8" t="n">
        <v>0.18</v>
      </c>
      <c r="M60" s="29">
        <f>(K60*L60*H60)+H60*K60</f>
        <v/>
      </c>
      <c r="N60" s="30" t="n">
        <v>0</v>
      </c>
      <c r="O60" s="29">
        <f>M60-N60</f>
        <v/>
      </c>
      <c r="P60" s="5" t="inlineStr">
        <is>
          <t>Store</t>
        </is>
      </c>
      <c r="Q60" s="5" t="inlineStr">
        <is>
          <t>Mumbai</t>
        </is>
      </c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 ht="14.25" customHeight="1" s="27">
      <c r="A61" s="4" t="n">
        <v>44029</v>
      </c>
      <c r="B61" s="5" t="inlineStr">
        <is>
          <t>Inv-2020/080</t>
        </is>
      </c>
      <c r="C61" s="5" t="inlineStr">
        <is>
          <t>Samiksha Nitin Kshirsagar</t>
        </is>
      </c>
      <c r="D61" s="5" t="inlineStr">
        <is>
          <t>Mumbai</t>
        </is>
      </c>
      <c r="E61" s="5" t="inlineStr">
        <is>
          <t>Tab-565</t>
        </is>
      </c>
      <c r="F61" s="5" t="inlineStr">
        <is>
          <t>Dining Table 6-seater</t>
        </is>
      </c>
      <c r="G61" s="5" t="inlineStr">
        <is>
          <t>Table</t>
        </is>
      </c>
      <c r="H61" s="5" t="n">
        <v>1</v>
      </c>
      <c r="I61" s="5" t="n">
        <v>32450</v>
      </c>
      <c r="J61" s="6" t="n">
        <v>0.02</v>
      </c>
      <c r="K61" s="29">
        <f>I61-(I61*J61)</f>
        <v/>
      </c>
      <c r="L61" s="8" t="n">
        <v>0.18</v>
      </c>
      <c r="M61" s="29">
        <f>(K61*L61*H61)+H61*K61</f>
        <v/>
      </c>
      <c r="N61" s="30" t="n">
        <v>0</v>
      </c>
      <c r="O61" s="29">
        <f>M61-N61</f>
        <v/>
      </c>
      <c r="P61" s="5" t="inlineStr">
        <is>
          <t>Store</t>
        </is>
      </c>
      <c r="Q61" s="5" t="inlineStr">
        <is>
          <t>Mumbai</t>
        </is>
      </c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 ht="14.25" customHeight="1" s="27">
      <c r="A62" s="4" t="n">
        <v>44033</v>
      </c>
      <c r="B62" s="5" t="inlineStr">
        <is>
          <t>Inv-2020/085</t>
        </is>
      </c>
      <c r="C62" s="5" t="inlineStr">
        <is>
          <t>Rajendra Pradeep Kelkar</t>
        </is>
      </c>
      <c r="D62" s="5" t="inlineStr">
        <is>
          <t>Pune</t>
        </is>
      </c>
      <c r="E62" s="5" t="inlineStr">
        <is>
          <t>Cab-265</t>
        </is>
      </c>
      <c r="F62" s="5" t="inlineStr">
        <is>
          <t>TV Cabinet</t>
        </is>
      </c>
      <c r="G62" s="5" t="inlineStr">
        <is>
          <t>Cabinet</t>
        </is>
      </c>
      <c r="H62" s="5" t="n">
        <v>1</v>
      </c>
      <c r="I62" s="5" t="n">
        <v>12450</v>
      </c>
      <c r="J62" s="6" t="n">
        <v>0</v>
      </c>
      <c r="K62" s="29">
        <f>I62-(I62*J62)</f>
        <v/>
      </c>
      <c r="L62" s="8" t="n">
        <v>0.18</v>
      </c>
      <c r="M62" s="29">
        <f>(K62*L62*H62)+H62*K62</f>
        <v/>
      </c>
      <c r="N62" s="30" t="n">
        <v>0</v>
      </c>
      <c r="O62" s="29">
        <f>M62-N62</f>
        <v/>
      </c>
      <c r="P62" s="5" t="inlineStr">
        <is>
          <t>Store</t>
        </is>
      </c>
      <c r="Q62" s="5" t="inlineStr">
        <is>
          <t>Pune</t>
        </is>
      </c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 ht="14.25" customHeight="1" s="27">
      <c r="A63" s="4" t="n">
        <v>44039</v>
      </c>
      <c r="B63" s="5" t="inlineStr">
        <is>
          <t>Inv-2020/068</t>
        </is>
      </c>
      <c r="C63" s="5" t="inlineStr">
        <is>
          <t>Akash Manoj Lokhande</t>
        </is>
      </c>
      <c r="D63" s="5" t="inlineStr">
        <is>
          <t>Pune</t>
        </is>
      </c>
      <c r="E63" s="5" t="inlineStr">
        <is>
          <t>Cab-265</t>
        </is>
      </c>
      <c r="F63" s="5" t="inlineStr">
        <is>
          <t>TV Cabinet</t>
        </is>
      </c>
      <c r="G63" s="5" t="inlineStr">
        <is>
          <t>Cabinet</t>
        </is>
      </c>
      <c r="H63" s="5" t="n">
        <v>1</v>
      </c>
      <c r="I63" s="5" t="n">
        <v>12450</v>
      </c>
      <c r="J63" s="6" t="n">
        <v>0.03</v>
      </c>
      <c r="K63" s="29">
        <f>I63-(I63*J63)</f>
        <v/>
      </c>
      <c r="L63" s="8" t="n">
        <v>0.18</v>
      </c>
      <c r="M63" s="29">
        <f>(K63*L63*H63)+H63*K63</f>
        <v/>
      </c>
      <c r="N63" s="30" t="n">
        <v>0</v>
      </c>
      <c r="O63" s="29">
        <f>M63-N63</f>
        <v/>
      </c>
      <c r="P63" s="5" t="inlineStr">
        <is>
          <t>Store</t>
        </is>
      </c>
      <c r="Q63" s="5" t="inlineStr">
        <is>
          <t>Pune</t>
        </is>
      </c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 ht="14.25" customHeight="1" s="27">
      <c r="A64" s="4" t="n">
        <v>44044</v>
      </c>
      <c r="B64" s="5" t="inlineStr">
        <is>
          <t>Inv-2020/084</t>
        </is>
      </c>
      <c r="C64" s="5" t="inlineStr">
        <is>
          <t>Rama Pankaj Khandelwal</t>
        </is>
      </c>
      <c r="D64" s="5" t="inlineStr">
        <is>
          <t>Pune</t>
        </is>
      </c>
      <c r="E64" s="5" t="inlineStr">
        <is>
          <t>Sof-268</t>
        </is>
      </c>
      <c r="F64" s="5" t="inlineStr">
        <is>
          <t>Sofa 5-seater</t>
        </is>
      </c>
      <c r="G64" s="5" t="inlineStr">
        <is>
          <t>Sofa</t>
        </is>
      </c>
      <c r="H64" s="5" t="n">
        <v>1</v>
      </c>
      <c r="I64" s="5" t="n">
        <v>76000</v>
      </c>
      <c r="J64" s="6" t="n">
        <v>0.04</v>
      </c>
      <c r="K64" s="29">
        <f>I64-(I64*J64)</f>
        <v/>
      </c>
      <c r="L64" s="8" t="n">
        <v>0.18</v>
      </c>
      <c r="M64" s="29">
        <f>(K64*L64*H64)+H64*K64</f>
        <v/>
      </c>
      <c r="N64" s="30" t="n">
        <v>0</v>
      </c>
      <c r="O64" s="29">
        <f>M64-N64</f>
        <v/>
      </c>
      <c r="P64" s="5" t="inlineStr">
        <is>
          <t>Store</t>
        </is>
      </c>
      <c r="Q64" s="5" t="inlineStr">
        <is>
          <t>Pune</t>
        </is>
      </c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 ht="14.25" customHeight="1" s="27">
      <c r="A65" s="4" t="n">
        <v>44045</v>
      </c>
      <c r="B65" s="5" t="inlineStr">
        <is>
          <t>Inv-2020/036</t>
        </is>
      </c>
      <c r="C65" s="5" t="inlineStr">
        <is>
          <t>Yogesh Gautam Shah</t>
        </is>
      </c>
      <c r="D65" s="5" t="inlineStr">
        <is>
          <t>Bangalore</t>
        </is>
      </c>
      <c r="E65" s="5" t="inlineStr">
        <is>
          <t>Tab-564</t>
        </is>
      </c>
      <c r="F65" s="5" t="inlineStr">
        <is>
          <t>Dining Table 4-seater</t>
        </is>
      </c>
      <c r="G65" s="5" t="inlineStr">
        <is>
          <t>Table</t>
        </is>
      </c>
      <c r="H65" s="5" t="n">
        <v>1</v>
      </c>
      <c r="I65" s="5" t="n">
        <v>24500</v>
      </c>
      <c r="J65" s="6" t="n">
        <v>0.03</v>
      </c>
      <c r="K65" s="29">
        <f>I65-(I65*J65)</f>
        <v/>
      </c>
      <c r="L65" s="8" t="n">
        <v>0.18</v>
      </c>
      <c r="M65" s="29">
        <f>(K65*L65*H65)+H65*K65</f>
        <v/>
      </c>
      <c r="N65" s="30" t="n">
        <v>0</v>
      </c>
      <c r="O65" s="29">
        <f>M65-N65</f>
        <v/>
      </c>
      <c r="P65" s="5" t="inlineStr">
        <is>
          <t>Website</t>
        </is>
      </c>
      <c r="Q65" s="5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 ht="14.25" customHeight="1" s="27">
      <c r="A66" s="4" t="n">
        <v>44047</v>
      </c>
      <c r="B66" s="5" t="inlineStr">
        <is>
          <t>Inv-2020/009</t>
        </is>
      </c>
      <c r="C66" s="5" t="inlineStr">
        <is>
          <t>Sachin Anil Sharma</t>
        </is>
      </c>
      <c r="D66" s="5" t="inlineStr">
        <is>
          <t>Bangalore</t>
        </is>
      </c>
      <c r="E66" s="5" t="inlineStr">
        <is>
          <t>Chr-845</t>
        </is>
      </c>
      <c r="F66" s="5" t="inlineStr">
        <is>
          <t>Arm Chair</t>
        </is>
      </c>
      <c r="G66" s="5" t="inlineStr">
        <is>
          <t>Sofa</t>
        </is>
      </c>
      <c r="H66" s="5" t="n">
        <v>2</v>
      </c>
      <c r="I66" s="5" t="n">
        <v>7000</v>
      </c>
      <c r="J66" s="6" t="n">
        <v>0</v>
      </c>
      <c r="K66" s="29">
        <f>I66-(I66*J66)</f>
        <v/>
      </c>
      <c r="L66" s="8" t="n">
        <v>0.18</v>
      </c>
      <c r="M66" s="29">
        <f>(K66*L66*H66)+H66*K66</f>
        <v/>
      </c>
      <c r="N66" s="30" t="n">
        <v>0</v>
      </c>
      <c r="O66" s="29">
        <f>M66-N66</f>
        <v/>
      </c>
      <c r="P66" s="5" t="inlineStr">
        <is>
          <t>Website</t>
        </is>
      </c>
      <c r="Q66" s="5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 ht="14.25" customHeight="1" s="27">
      <c r="A67" s="4" t="n">
        <v>44047</v>
      </c>
      <c r="B67" s="5" t="inlineStr">
        <is>
          <t>Inv-2020/038</t>
        </is>
      </c>
      <c r="C67" s="5" t="inlineStr">
        <is>
          <t>Sujeya Gupta Sawade</t>
        </is>
      </c>
      <c r="D67" s="5" t="inlineStr">
        <is>
          <t>Bangalore</t>
        </is>
      </c>
      <c r="E67" s="5" t="inlineStr">
        <is>
          <t>Sof-268</t>
        </is>
      </c>
      <c r="F67" s="5" t="inlineStr">
        <is>
          <t>Sofa 5-seater</t>
        </is>
      </c>
      <c r="G67" s="5" t="inlineStr">
        <is>
          <t>Sofa</t>
        </is>
      </c>
      <c r="H67" s="5" t="n">
        <v>1</v>
      </c>
      <c r="I67" s="5" t="n">
        <v>76000</v>
      </c>
      <c r="J67" s="6" t="n">
        <v>0.05</v>
      </c>
      <c r="K67" s="29">
        <f>I67-(I67*J67)</f>
        <v/>
      </c>
      <c r="L67" s="8" t="n">
        <v>0.18</v>
      </c>
      <c r="M67" s="29">
        <f>(K67*L67*H67)+H67*K67</f>
        <v/>
      </c>
      <c r="N67" s="30" t="n">
        <v>25558.8</v>
      </c>
      <c r="O67" s="29">
        <f>M67-N67</f>
        <v/>
      </c>
      <c r="P67" s="5" t="inlineStr">
        <is>
          <t>Amazon</t>
        </is>
      </c>
      <c r="Q67" s="5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 ht="14.25" customHeight="1" s="27">
      <c r="A68" s="4" t="n">
        <v>44049</v>
      </c>
      <c r="B68" s="5" t="inlineStr">
        <is>
          <t>Inv-2020/060</t>
        </is>
      </c>
      <c r="C68" s="5" t="inlineStr">
        <is>
          <t>Devika Madan Murthy</t>
        </is>
      </c>
      <c r="D68" s="5" t="inlineStr">
        <is>
          <t>Mumbai</t>
        </is>
      </c>
      <c r="E68" s="5" t="inlineStr">
        <is>
          <t>Cab-265</t>
        </is>
      </c>
      <c r="F68" s="5" t="inlineStr">
        <is>
          <t>TV Cabinet</t>
        </is>
      </c>
      <c r="G68" s="5" t="inlineStr">
        <is>
          <t>Cabinet</t>
        </is>
      </c>
      <c r="H68" s="5" t="n">
        <v>1</v>
      </c>
      <c r="I68" s="5" t="n">
        <v>12450</v>
      </c>
      <c r="J68" s="6" t="n">
        <v>0</v>
      </c>
      <c r="K68" s="29">
        <f>I68-(I68*J68)</f>
        <v/>
      </c>
      <c r="L68" s="8" t="n">
        <v>0.18</v>
      </c>
      <c r="M68" s="29">
        <f>(K68*L68*H68)+H68*K68</f>
        <v/>
      </c>
      <c r="N68" s="30" t="n">
        <v>3966.57</v>
      </c>
      <c r="O68" s="29">
        <f>M68-N68</f>
        <v/>
      </c>
      <c r="P68" s="5" t="inlineStr">
        <is>
          <t>Flipkart</t>
        </is>
      </c>
      <c r="Q68" s="5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 ht="14.25" customHeight="1" s="27">
      <c r="A69" s="4" t="n">
        <v>44049</v>
      </c>
      <c r="B69" s="5" t="inlineStr">
        <is>
          <t>Inv-2020/060</t>
        </is>
      </c>
      <c r="C69" s="5" t="inlineStr">
        <is>
          <t>Devika Madan Murthy</t>
        </is>
      </c>
      <c r="D69" s="5" t="inlineStr">
        <is>
          <t>Mumbai</t>
        </is>
      </c>
      <c r="E69" s="5" t="inlineStr">
        <is>
          <t>Rec-234</t>
        </is>
      </c>
      <c r="F69" s="5" t="inlineStr">
        <is>
          <t>Leather Recliner</t>
        </is>
      </c>
      <c r="G69" s="5" t="inlineStr">
        <is>
          <t>Sofa</t>
        </is>
      </c>
      <c r="H69" s="5" t="n">
        <v>1</v>
      </c>
      <c r="I69" s="5" t="n">
        <v>29800</v>
      </c>
      <c r="J69" s="6" t="n">
        <v>0.02</v>
      </c>
      <c r="K69" s="29">
        <f>I69-(I69*J69)</f>
        <v/>
      </c>
      <c r="L69" s="8" t="n">
        <v>0.18</v>
      </c>
      <c r="M69" s="29">
        <f>(K69*L69*H69)+H69*K69</f>
        <v/>
      </c>
      <c r="N69" s="30" t="n">
        <v>9304.394400000001</v>
      </c>
      <c r="O69" s="29">
        <f>M69-N69</f>
        <v/>
      </c>
      <c r="P69" s="5" t="inlineStr">
        <is>
          <t>Flipkart</t>
        </is>
      </c>
      <c r="Q69" s="5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 ht="14.25" customHeight="1" s="27">
      <c r="A70" s="4" t="n">
        <v>44052</v>
      </c>
      <c r="B70" s="5" t="inlineStr">
        <is>
          <t>Inv-2020/023</t>
        </is>
      </c>
      <c r="C70" s="5" t="inlineStr">
        <is>
          <t>Jugal Bhushan Tambe</t>
        </is>
      </c>
      <c r="D70" s="5" t="inlineStr">
        <is>
          <t>Pune</t>
        </is>
      </c>
      <c r="E70" s="5" t="inlineStr">
        <is>
          <t>Chr-845</t>
        </is>
      </c>
      <c r="F70" s="5" t="inlineStr">
        <is>
          <t>Arm Chair</t>
        </is>
      </c>
      <c r="G70" s="5" t="inlineStr">
        <is>
          <t>Sofa</t>
        </is>
      </c>
      <c r="H70" s="5" t="n">
        <v>1</v>
      </c>
      <c r="I70" s="5" t="n">
        <v>7000</v>
      </c>
      <c r="J70" s="6" t="n">
        <v>0.02</v>
      </c>
      <c r="K70" s="29">
        <f>I70-(I70*J70)</f>
        <v/>
      </c>
      <c r="L70" s="8" t="n">
        <v>0.18</v>
      </c>
      <c r="M70" s="29">
        <f>(K70*L70*H70)+H70*K70</f>
        <v/>
      </c>
      <c r="N70" s="30" t="n">
        <v>0</v>
      </c>
      <c r="O70" s="29">
        <f>M70-N70</f>
        <v/>
      </c>
      <c r="P70" s="5" t="inlineStr">
        <is>
          <t>Website</t>
        </is>
      </c>
      <c r="Q70" s="5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 ht="14.25" customHeight="1" s="27">
      <c r="A71" s="4" t="n">
        <v>44056</v>
      </c>
      <c r="B71" s="5" t="inlineStr">
        <is>
          <t>Inv-2020/067</t>
        </is>
      </c>
      <c r="C71" s="5" t="inlineStr">
        <is>
          <t>Anagha Manish Mangharamani</t>
        </is>
      </c>
      <c r="D71" s="5" t="inlineStr">
        <is>
          <t>Pune</t>
        </is>
      </c>
      <c r="E71" s="5" t="inlineStr">
        <is>
          <t>Cab-265</t>
        </is>
      </c>
      <c r="F71" s="5" t="inlineStr">
        <is>
          <t>TV Cabinet</t>
        </is>
      </c>
      <c r="G71" s="5" t="inlineStr">
        <is>
          <t>Cabinet</t>
        </is>
      </c>
      <c r="H71" s="5" t="n">
        <v>1</v>
      </c>
      <c r="I71" s="5" t="n">
        <v>12450</v>
      </c>
      <c r="J71" s="6" t="n">
        <v>0.04</v>
      </c>
      <c r="K71" s="29">
        <f>I71-(I71*J71)</f>
        <v/>
      </c>
      <c r="L71" s="8" t="n">
        <v>0.18</v>
      </c>
      <c r="M71" s="29">
        <f>(K71*L71*H71)+H71*K71</f>
        <v/>
      </c>
      <c r="N71" s="30" t="n">
        <v>0</v>
      </c>
      <c r="O71" s="29">
        <f>M71-N71</f>
        <v/>
      </c>
      <c r="P71" s="5" t="inlineStr">
        <is>
          <t>Store</t>
        </is>
      </c>
      <c r="Q71" s="5" t="inlineStr">
        <is>
          <t>Pune</t>
        </is>
      </c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 ht="14.25" customHeight="1" s="27">
      <c r="A72" s="4" t="n">
        <v>44056</v>
      </c>
      <c r="B72" s="5" t="inlineStr">
        <is>
          <t>Inv-2020/083</t>
        </is>
      </c>
      <c r="C72" s="5" t="inlineStr">
        <is>
          <t>Renuka Pandurang Killedar</t>
        </is>
      </c>
      <c r="D72" s="5" t="inlineStr">
        <is>
          <t>Mumbai</t>
        </is>
      </c>
      <c r="E72" s="5" t="inlineStr">
        <is>
          <t>Sof-268</t>
        </is>
      </c>
      <c r="F72" s="5" t="inlineStr">
        <is>
          <t>Sofa 5-seater</t>
        </is>
      </c>
      <c r="G72" s="5" t="inlineStr">
        <is>
          <t>Sofa</t>
        </is>
      </c>
      <c r="H72" s="5" t="n">
        <v>1</v>
      </c>
      <c r="I72" s="5" t="n">
        <v>76000</v>
      </c>
      <c r="J72" s="6" t="n">
        <v>0.01</v>
      </c>
      <c r="K72" s="29">
        <f>I72-(I72*J72)</f>
        <v/>
      </c>
      <c r="L72" s="8" t="n">
        <v>0.18</v>
      </c>
      <c r="M72" s="29">
        <f>(K72*L72*H72)+H72*K72</f>
        <v/>
      </c>
      <c r="N72" s="30" t="n">
        <v>0</v>
      </c>
      <c r="O72" s="29">
        <f>M72-N72</f>
        <v/>
      </c>
      <c r="P72" s="5" t="inlineStr">
        <is>
          <t>Store</t>
        </is>
      </c>
      <c r="Q72" s="5" t="inlineStr">
        <is>
          <t>Mumbai</t>
        </is>
      </c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 ht="14.25" customHeight="1" s="27">
      <c r="A73" s="4" t="n">
        <v>44058</v>
      </c>
      <c r="B73" s="5" t="inlineStr">
        <is>
          <t>Inv-2020/040</t>
        </is>
      </c>
      <c r="C73" s="5" t="inlineStr">
        <is>
          <t>Shweta Hambirrao Sathe</t>
        </is>
      </c>
      <c r="D73" s="5" t="inlineStr">
        <is>
          <t>Bangalore</t>
        </is>
      </c>
      <c r="E73" s="5" t="inlineStr">
        <is>
          <t>Sof-267</t>
        </is>
      </c>
      <c r="F73" s="5" t="inlineStr">
        <is>
          <t>Sofa 3-seater</t>
        </is>
      </c>
      <c r="G73" s="5" t="inlineStr">
        <is>
          <t>Sofa</t>
        </is>
      </c>
      <c r="H73" s="5" t="n">
        <v>1</v>
      </c>
      <c r="I73" s="5" t="n">
        <v>53000</v>
      </c>
      <c r="J73" s="6" t="n">
        <v>0.04</v>
      </c>
      <c r="K73" s="29">
        <f>I73-(I73*J73)</f>
        <v/>
      </c>
      <c r="L73" s="8" t="n">
        <v>0.18</v>
      </c>
      <c r="M73" s="29">
        <f>(K73*L73*H73)+H73*K73</f>
        <v/>
      </c>
      <c r="N73" s="30" t="n">
        <v>0</v>
      </c>
      <c r="O73" s="29">
        <f>M73-N73</f>
        <v/>
      </c>
      <c r="P73" s="5" t="inlineStr">
        <is>
          <t>Website</t>
        </is>
      </c>
      <c r="Q73" s="5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 ht="14.25" customHeight="1" s="27">
      <c r="A74" s="4" t="n">
        <v>44063</v>
      </c>
      <c r="B74" s="5" t="inlineStr">
        <is>
          <t>Inv-2020/029</t>
        </is>
      </c>
      <c r="C74" s="5" t="inlineStr">
        <is>
          <t>Ayajsaiyad Deepak Sharma</t>
        </is>
      </c>
      <c r="D74" s="5" t="inlineStr">
        <is>
          <t>Bangalore</t>
        </is>
      </c>
      <c r="E74" s="5" t="inlineStr">
        <is>
          <t>Tab-565</t>
        </is>
      </c>
      <c r="F74" s="5" t="inlineStr">
        <is>
          <t>Dining Table 6-seater</t>
        </is>
      </c>
      <c r="G74" s="5" t="inlineStr">
        <is>
          <t>Table</t>
        </is>
      </c>
      <c r="H74" s="5" t="n">
        <v>1</v>
      </c>
      <c r="I74" s="5" t="n">
        <v>32450</v>
      </c>
      <c r="J74" s="6" t="n">
        <v>0.01</v>
      </c>
      <c r="K74" s="29">
        <f>I74-(I74*J74)</f>
        <v/>
      </c>
      <c r="L74" s="8" t="n">
        <v>0.18</v>
      </c>
      <c r="M74" s="29">
        <f>(K74*L74*H74)+H74*K74</f>
        <v/>
      </c>
      <c r="N74" s="30" t="n">
        <v>10235.1843</v>
      </c>
      <c r="O74" s="29">
        <f>M74-N74</f>
        <v/>
      </c>
      <c r="P74" s="5" t="inlineStr">
        <is>
          <t>Flipkart</t>
        </is>
      </c>
      <c r="Q74" s="5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 ht="14.25" customHeight="1" s="27">
      <c r="A75" s="4" t="n">
        <v>44063</v>
      </c>
      <c r="B75" s="5" t="inlineStr">
        <is>
          <t>Inv-2020/047</t>
        </is>
      </c>
      <c r="C75" s="5" t="inlineStr">
        <is>
          <t>Purva Jangbahadur Ralkar</t>
        </is>
      </c>
      <c r="D75" s="5" t="inlineStr">
        <is>
          <t>Pune</t>
        </is>
      </c>
      <c r="E75" s="5" t="inlineStr">
        <is>
          <t>Chr-845</t>
        </is>
      </c>
      <c r="F75" s="5" t="inlineStr">
        <is>
          <t>Arm Chair</t>
        </is>
      </c>
      <c r="G75" s="5" t="inlineStr">
        <is>
          <t>Sofa</t>
        </is>
      </c>
      <c r="H75" s="5" t="n">
        <v>1</v>
      </c>
      <c r="I75" s="5" t="n">
        <v>7000</v>
      </c>
      <c r="J75" s="6" t="n">
        <v>0.01</v>
      </c>
      <c r="K75" s="29">
        <f>I75-(I75*J75)</f>
        <v/>
      </c>
      <c r="L75" s="8" t="n">
        <v>0.18</v>
      </c>
      <c r="M75" s="29">
        <f>(K75*L75*H75)+H75*K75</f>
        <v/>
      </c>
      <c r="N75" s="30" t="n">
        <v>0</v>
      </c>
      <c r="O75" s="29">
        <f>M75-N75</f>
        <v/>
      </c>
      <c r="P75" s="5" t="inlineStr">
        <is>
          <t>Store</t>
        </is>
      </c>
      <c r="Q75" s="5" t="inlineStr">
        <is>
          <t>Pune</t>
        </is>
      </c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 ht="14.25" customHeight="1" s="27">
      <c r="A76" s="4" t="n">
        <v>44065</v>
      </c>
      <c r="B76" s="5" t="inlineStr">
        <is>
          <t>Inv-2020/049</t>
        </is>
      </c>
      <c r="C76" s="5" t="inlineStr">
        <is>
          <t>Pooja Jitendra Pharate</t>
        </is>
      </c>
      <c r="D76" s="5" t="inlineStr">
        <is>
          <t>Pune</t>
        </is>
      </c>
      <c r="E76" s="5" t="inlineStr">
        <is>
          <t>Sof-267</t>
        </is>
      </c>
      <c r="F76" s="5" t="inlineStr">
        <is>
          <t>Sofa 3-seater</t>
        </is>
      </c>
      <c r="G76" s="5" t="inlineStr">
        <is>
          <t>Sofa</t>
        </is>
      </c>
      <c r="H76" s="5" t="n">
        <v>1</v>
      </c>
      <c r="I76" s="5" t="n">
        <v>53000</v>
      </c>
      <c r="J76" s="6" t="n">
        <v>0.04</v>
      </c>
      <c r="K76" s="29">
        <f>I76-(I76*J76)</f>
        <v/>
      </c>
      <c r="L76" s="8" t="n">
        <v>0.18</v>
      </c>
      <c r="M76" s="29">
        <f>(K76*L76*H76)+H76*K76</f>
        <v/>
      </c>
      <c r="N76" s="30" t="n">
        <v>0</v>
      </c>
      <c r="O76" s="29">
        <f>M76-N76</f>
        <v/>
      </c>
      <c r="P76" s="5" t="inlineStr">
        <is>
          <t>Store</t>
        </is>
      </c>
      <c r="Q76" s="5" t="inlineStr">
        <is>
          <t>Pune</t>
        </is>
      </c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 ht="14.25" customHeight="1" s="27">
      <c r="A77" s="4" t="n">
        <v>44069</v>
      </c>
      <c r="B77" s="5" t="inlineStr">
        <is>
          <t>Inv-2020/002</t>
        </is>
      </c>
      <c r="C77" s="5" t="inlineStr">
        <is>
          <t>Sukanya Ajay Dhananjay</t>
        </is>
      </c>
      <c r="D77" s="5" t="inlineStr">
        <is>
          <t>Mumbai</t>
        </is>
      </c>
      <c r="E77" s="5" t="inlineStr">
        <is>
          <t>Sof-268</t>
        </is>
      </c>
      <c r="F77" s="5" t="inlineStr">
        <is>
          <t>Sofa 5-seater</t>
        </is>
      </c>
      <c r="G77" s="5" t="inlineStr">
        <is>
          <t>Sofa</t>
        </is>
      </c>
      <c r="H77" s="5" t="n">
        <v>1</v>
      </c>
      <c r="I77" s="5" t="n">
        <v>76000</v>
      </c>
      <c r="J77" s="6" t="n">
        <v>0.04</v>
      </c>
      <c r="K77" s="29">
        <f>I77-(I77*J77)</f>
        <v/>
      </c>
      <c r="L77" s="8" t="n">
        <v>0.18</v>
      </c>
      <c r="M77" s="29">
        <f>(K77*L77*H77)+H77*K77</f>
        <v/>
      </c>
      <c r="N77" s="30" t="n">
        <v>23245.056</v>
      </c>
      <c r="O77" s="29">
        <f>M77-N77</f>
        <v/>
      </c>
      <c r="P77" s="5" t="inlineStr">
        <is>
          <t>Flipkart</t>
        </is>
      </c>
      <c r="Q77" s="5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 ht="14.25" customHeight="1" s="27">
      <c r="A78" s="4" t="n">
        <v>44074</v>
      </c>
      <c r="B78" s="5" t="inlineStr">
        <is>
          <t>Inv-2020/043</t>
        </is>
      </c>
      <c r="C78" s="5" t="inlineStr">
        <is>
          <t>Rushabh Hemant Rode</t>
        </is>
      </c>
      <c r="D78" s="5" t="inlineStr">
        <is>
          <t>Ahmedabad</t>
        </is>
      </c>
      <c r="E78" s="5" t="inlineStr">
        <is>
          <t>Tab-565</t>
        </is>
      </c>
      <c r="F78" s="5" t="inlineStr">
        <is>
          <t>Dining Table 6-seater</t>
        </is>
      </c>
      <c r="G78" s="5" t="inlineStr">
        <is>
          <t>Table</t>
        </is>
      </c>
      <c r="H78" s="5" t="n">
        <v>1</v>
      </c>
      <c r="I78" s="5" t="n">
        <v>32450</v>
      </c>
      <c r="J78" s="6" t="n">
        <v>0.01</v>
      </c>
      <c r="K78" s="29">
        <f>I78-(I78*J78)</f>
        <v/>
      </c>
      <c r="L78" s="8" t="n">
        <v>0.18</v>
      </c>
      <c r="M78" s="29">
        <f>(K78*L78*H78)+H78*K78</f>
        <v/>
      </c>
      <c r="N78" s="30" t="n">
        <v>11372.427</v>
      </c>
      <c r="O78" s="29">
        <f>M78-N78</f>
        <v/>
      </c>
      <c r="P78" s="5" t="inlineStr">
        <is>
          <t>Amazon</t>
        </is>
      </c>
      <c r="Q78" s="5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 ht="14.25" customHeight="1" s="27">
      <c r="A79" s="4" t="n">
        <v>44074</v>
      </c>
      <c r="B79" s="5" t="inlineStr">
        <is>
          <t>Inv-2020/043</t>
        </is>
      </c>
      <c r="C79" s="5" t="inlineStr">
        <is>
          <t>Rushabh Hemant Rode</t>
        </is>
      </c>
      <c r="D79" s="5" t="inlineStr">
        <is>
          <t>Ahmedabad</t>
        </is>
      </c>
      <c r="E79" s="5" t="inlineStr">
        <is>
          <t>Sof-267</t>
        </is>
      </c>
      <c r="F79" s="5" t="inlineStr">
        <is>
          <t>Sofa 3-seater</t>
        </is>
      </c>
      <c r="G79" s="5" t="inlineStr">
        <is>
          <t>Sofa</t>
        </is>
      </c>
      <c r="H79" s="5" t="n">
        <v>1</v>
      </c>
      <c r="I79" s="5" t="n">
        <v>53000</v>
      </c>
      <c r="J79" s="6" t="n">
        <v>0.04</v>
      </c>
      <c r="K79" s="29">
        <f>I79-(I79*J79)</f>
        <v/>
      </c>
      <c r="L79" s="8" t="n">
        <v>0.18</v>
      </c>
      <c r="M79" s="29">
        <f>(K79*L79*H79)+H79*K79</f>
        <v/>
      </c>
      <c r="N79" s="30" t="n">
        <v>18011.52</v>
      </c>
      <c r="O79" s="29">
        <f>M79-N79</f>
        <v/>
      </c>
      <c r="P79" s="5" t="inlineStr">
        <is>
          <t>Amazon</t>
        </is>
      </c>
      <c r="Q79" s="5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 ht="14.25" customHeight="1" s="27">
      <c r="A80" s="4" t="n">
        <v>44076</v>
      </c>
      <c r="B80" s="5" t="inlineStr">
        <is>
          <t>Inv-2020/072</t>
        </is>
      </c>
      <c r="C80" s="5" t="inlineStr">
        <is>
          <t>Aditya Maruti Limaye</t>
        </is>
      </c>
      <c r="D80" s="5" t="inlineStr">
        <is>
          <t>Mumbai</t>
        </is>
      </c>
      <c r="E80" s="5" t="inlineStr">
        <is>
          <t>Tab-564</t>
        </is>
      </c>
      <c r="F80" s="5" t="inlineStr">
        <is>
          <t>Dining Table 4-seater</t>
        </is>
      </c>
      <c r="G80" s="5" t="inlineStr">
        <is>
          <t>Table</t>
        </is>
      </c>
      <c r="H80" s="5" t="n">
        <v>1</v>
      </c>
      <c r="I80" s="5" t="n">
        <v>24500</v>
      </c>
      <c r="J80" s="6" t="n">
        <v>0</v>
      </c>
      <c r="K80" s="29">
        <f>I80-(I80*J80)</f>
        <v/>
      </c>
      <c r="L80" s="8" t="n">
        <v>0.18</v>
      </c>
      <c r="M80" s="29">
        <f>(K80*L80*H80)+H80*K80</f>
        <v/>
      </c>
      <c r="N80" s="30" t="n">
        <v>0</v>
      </c>
      <c r="O80" s="29">
        <f>M80-N80</f>
        <v/>
      </c>
      <c r="P80" s="5" t="inlineStr">
        <is>
          <t>Store</t>
        </is>
      </c>
      <c r="Q80" s="5" t="inlineStr">
        <is>
          <t>Mumbai</t>
        </is>
      </c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 ht="14.25" customHeight="1" s="27">
      <c r="A81" s="4" t="n">
        <v>44078</v>
      </c>
      <c r="B81" s="5" t="inlineStr">
        <is>
          <t>Inv-2020/011</t>
        </is>
      </c>
      <c r="C81" s="5" t="inlineStr">
        <is>
          <t>Ritesh Ashish Garud</t>
        </is>
      </c>
      <c r="D81" s="5" t="inlineStr">
        <is>
          <t>Mumbai</t>
        </is>
      </c>
      <c r="E81" s="5" t="inlineStr">
        <is>
          <t>Chr-845</t>
        </is>
      </c>
      <c r="F81" s="5" t="inlineStr">
        <is>
          <t>Arm Chair</t>
        </is>
      </c>
      <c r="G81" s="5" t="inlineStr">
        <is>
          <t>Sofa</t>
        </is>
      </c>
      <c r="H81" s="5" t="n">
        <v>1</v>
      </c>
      <c r="I81" s="5" t="n">
        <v>7000</v>
      </c>
      <c r="J81" s="6" t="n">
        <v>0</v>
      </c>
      <c r="K81" s="29">
        <f>I81-(I81*J81)</f>
        <v/>
      </c>
      <c r="L81" s="8" t="n">
        <v>0.18</v>
      </c>
      <c r="M81" s="29">
        <f>(K81*L81*H81)+H81*K81</f>
        <v/>
      </c>
      <c r="N81" s="30" t="n">
        <v>0</v>
      </c>
      <c r="O81" s="29">
        <f>M81-N81</f>
        <v/>
      </c>
      <c r="P81" s="5" t="inlineStr">
        <is>
          <t>Store</t>
        </is>
      </c>
      <c r="Q81" s="5" t="inlineStr">
        <is>
          <t>Mumbai</t>
        </is>
      </c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 ht="14.25" customHeight="1" s="27">
      <c r="A82" s="4" t="n">
        <v>44084</v>
      </c>
      <c r="B82" s="5" t="inlineStr">
        <is>
          <t>Inv-2020/065</t>
        </is>
      </c>
      <c r="C82" s="5" t="inlineStr">
        <is>
          <t>Bhavesh Mahesh More</t>
        </is>
      </c>
      <c r="D82" s="5" t="inlineStr">
        <is>
          <t>Mumbai</t>
        </is>
      </c>
      <c r="E82" s="5" t="inlineStr">
        <is>
          <t>Chr-845</t>
        </is>
      </c>
      <c r="F82" s="5" t="inlineStr">
        <is>
          <t>Arm Chair</t>
        </is>
      </c>
      <c r="G82" s="5" t="inlineStr">
        <is>
          <t>Sofa</t>
        </is>
      </c>
      <c r="H82" s="5" t="n">
        <v>2</v>
      </c>
      <c r="I82" s="5" t="n">
        <v>7000</v>
      </c>
      <c r="J82" s="6" t="n">
        <v>0.04</v>
      </c>
      <c r="K82" s="29">
        <f>I82-(I82*J82)</f>
        <v/>
      </c>
      <c r="L82" s="8" t="n">
        <v>0.18</v>
      </c>
      <c r="M82" s="29">
        <f>(K82*L82*H82)+H82*K82</f>
        <v/>
      </c>
      <c r="N82" s="30" t="n">
        <v>0</v>
      </c>
      <c r="O82" s="29">
        <f>M82-N82</f>
        <v/>
      </c>
      <c r="P82" s="5" t="inlineStr">
        <is>
          <t>Store</t>
        </is>
      </c>
      <c r="Q82" s="5" t="inlineStr">
        <is>
          <t>Mumbai</t>
        </is>
      </c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 ht="14.25" customHeight="1" s="27">
      <c r="A83" s="4" t="n">
        <v>44087</v>
      </c>
      <c r="B83" s="5" t="inlineStr">
        <is>
          <t>Inv-2020/075</t>
        </is>
      </c>
      <c r="C83" s="5" t="inlineStr">
        <is>
          <t>Trisha Nagarajan Kumar</t>
        </is>
      </c>
      <c r="D83" s="5" t="inlineStr">
        <is>
          <t>Pune</t>
        </is>
      </c>
      <c r="E83" s="5" t="inlineStr">
        <is>
          <t>Tab-565</t>
        </is>
      </c>
      <c r="F83" s="5" t="inlineStr">
        <is>
          <t>Dining Table 6-seater</t>
        </is>
      </c>
      <c r="G83" s="5" t="inlineStr">
        <is>
          <t>Table</t>
        </is>
      </c>
      <c r="H83" s="5" t="n">
        <v>1</v>
      </c>
      <c r="I83" s="5" t="n">
        <v>32450</v>
      </c>
      <c r="J83" s="6" t="n">
        <v>0</v>
      </c>
      <c r="K83" s="29">
        <f>I83-(I83*J83)</f>
        <v/>
      </c>
      <c r="L83" s="8" t="n">
        <v>0.18</v>
      </c>
      <c r="M83" s="29">
        <f>(K83*L83*H83)+H83*K83</f>
        <v/>
      </c>
      <c r="N83" s="30" t="n">
        <v>0</v>
      </c>
      <c r="O83" s="29">
        <f>M83-N83</f>
        <v/>
      </c>
      <c r="P83" s="5" t="inlineStr">
        <is>
          <t>Store</t>
        </is>
      </c>
      <c r="Q83" s="5" t="inlineStr">
        <is>
          <t>Pune</t>
        </is>
      </c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 ht="14.25" customHeight="1" s="27">
      <c r="A84" s="4" t="n">
        <v>44088</v>
      </c>
      <c r="B84" s="5" t="inlineStr">
        <is>
          <t>Inv-2020/059</t>
        </is>
      </c>
      <c r="C84" s="5" t="inlineStr">
        <is>
          <t>Govind M Notani</t>
        </is>
      </c>
      <c r="D84" s="5" t="inlineStr">
        <is>
          <t>Bangalore</t>
        </is>
      </c>
      <c r="E84" s="5" t="inlineStr">
        <is>
          <t>Sof-267</t>
        </is>
      </c>
      <c r="F84" s="5" t="inlineStr">
        <is>
          <t>Sofa 3-seater</t>
        </is>
      </c>
      <c r="G84" s="5" t="inlineStr">
        <is>
          <t>Sofa</t>
        </is>
      </c>
      <c r="H84" s="5" t="n">
        <v>1</v>
      </c>
      <c r="I84" s="5" t="n">
        <v>53000</v>
      </c>
      <c r="J84" s="6" t="n">
        <v>0.02</v>
      </c>
      <c r="K84" s="29">
        <f>I84-(I84*J84)</f>
        <v/>
      </c>
      <c r="L84" s="8" t="n">
        <v>0.18</v>
      </c>
      <c r="M84" s="29">
        <f>(K84*L84*H84)+H84*K84</f>
        <v/>
      </c>
      <c r="N84" s="30" t="n">
        <v>18386.76</v>
      </c>
      <c r="O84" s="29">
        <f>M84-N84</f>
        <v/>
      </c>
      <c r="P84" s="5" t="inlineStr">
        <is>
          <t>Amazon</t>
        </is>
      </c>
      <c r="Q84" s="5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 ht="14.25" customHeight="1" s="27">
      <c r="A85" s="4" t="n">
        <v>44088</v>
      </c>
      <c r="B85" s="5" t="inlineStr">
        <is>
          <t>Inv-2020/059</t>
        </is>
      </c>
      <c r="C85" s="5" t="inlineStr">
        <is>
          <t>Govind M Notani</t>
        </is>
      </c>
      <c r="D85" s="5" t="inlineStr">
        <is>
          <t>Bangalore</t>
        </is>
      </c>
      <c r="E85" s="5" t="inlineStr">
        <is>
          <t>Tab-565</t>
        </is>
      </c>
      <c r="F85" s="5" t="inlineStr">
        <is>
          <t>Dining Table 6-seater</t>
        </is>
      </c>
      <c r="G85" s="5" t="inlineStr">
        <is>
          <t>Table</t>
        </is>
      </c>
      <c r="H85" s="5" t="n">
        <v>1</v>
      </c>
      <c r="I85" s="5" t="n">
        <v>32450</v>
      </c>
      <c r="J85" s="6" t="n">
        <v>0</v>
      </c>
      <c r="K85" s="29">
        <f>I85-(I85*J85)</f>
        <v/>
      </c>
      <c r="L85" s="8" t="n">
        <v>0.18</v>
      </c>
      <c r="M85" s="29">
        <f>(K85*L85*H85)+H85*K85</f>
        <v/>
      </c>
      <c r="N85" s="30" t="n">
        <v>11487.3</v>
      </c>
      <c r="O85" s="29">
        <f>M85-N85</f>
        <v/>
      </c>
      <c r="P85" s="5" t="inlineStr">
        <is>
          <t>Amazon</t>
        </is>
      </c>
      <c r="Q85" s="5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 ht="14.25" customHeight="1" s="27">
      <c r="A86" s="4" t="n">
        <v>44093</v>
      </c>
      <c r="B86" s="5" t="inlineStr">
        <is>
          <t>Inv-2020/034</t>
        </is>
      </c>
      <c r="C86" s="5" t="inlineStr">
        <is>
          <t>Aditi Feroz Shah</t>
        </is>
      </c>
      <c r="D86" s="5" t="inlineStr">
        <is>
          <t>Mumbai</t>
        </is>
      </c>
      <c r="E86" s="5" t="inlineStr">
        <is>
          <t>Sof-267</t>
        </is>
      </c>
      <c r="F86" s="5" t="inlineStr">
        <is>
          <t>Sofa 3-seater</t>
        </is>
      </c>
      <c r="G86" s="5" t="inlineStr">
        <is>
          <t>Sofa</t>
        </is>
      </c>
      <c r="H86" s="5" t="n">
        <v>1</v>
      </c>
      <c r="I86" s="5" t="n">
        <v>53000</v>
      </c>
      <c r="J86" s="6" t="n">
        <v>0</v>
      </c>
      <c r="K86" s="29">
        <f>I86-(I86*J86)</f>
        <v/>
      </c>
      <c r="L86" s="8" t="n">
        <v>0.18</v>
      </c>
      <c r="M86" s="29">
        <f>(K86*L86*H86)+H86*K86</f>
        <v/>
      </c>
      <c r="N86" s="30" t="n">
        <v>0</v>
      </c>
      <c r="O86" s="29">
        <f>M86-N86</f>
        <v/>
      </c>
      <c r="P86" s="5" t="inlineStr">
        <is>
          <t>Store</t>
        </is>
      </c>
      <c r="Q86" s="5" t="inlineStr">
        <is>
          <t>Mumbai</t>
        </is>
      </c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 ht="14.25" customHeight="1" s="27">
      <c r="A87" s="4" t="n">
        <v>44097</v>
      </c>
      <c r="B87" s="5" t="inlineStr">
        <is>
          <t>Inv-2020/082</t>
        </is>
      </c>
      <c r="C87" s="5" t="inlineStr">
        <is>
          <t>Sagar Pandit Koranahalli</t>
        </is>
      </c>
      <c r="D87" s="5" t="inlineStr">
        <is>
          <t>Pune</t>
        </is>
      </c>
      <c r="E87" s="5" t="inlineStr">
        <is>
          <t>Chr-845</t>
        </is>
      </c>
      <c r="F87" s="5" t="inlineStr">
        <is>
          <t>Arm Chair</t>
        </is>
      </c>
      <c r="G87" s="5" t="inlineStr">
        <is>
          <t>Sofa</t>
        </is>
      </c>
      <c r="H87" s="5" t="n">
        <v>1</v>
      </c>
      <c r="I87" s="5" t="n">
        <v>7000</v>
      </c>
      <c r="J87" s="6" t="n">
        <v>0</v>
      </c>
      <c r="K87" s="29">
        <f>I87-(I87*J87)</f>
        <v/>
      </c>
      <c r="L87" s="8" t="n">
        <v>0.18</v>
      </c>
      <c r="M87" s="29">
        <f>(K87*L87*H87)+H87*K87</f>
        <v/>
      </c>
      <c r="N87" s="30" t="n">
        <v>0</v>
      </c>
      <c r="O87" s="29">
        <f>M87-N87</f>
        <v/>
      </c>
      <c r="P87" s="5" t="inlineStr">
        <is>
          <t>Store</t>
        </is>
      </c>
      <c r="Q87" s="5" t="inlineStr">
        <is>
          <t>Pune</t>
        </is>
      </c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 ht="14.25" customHeight="1" s="27">
      <c r="A88" s="4" t="n">
        <v>44100</v>
      </c>
      <c r="B88" s="5" t="inlineStr">
        <is>
          <t>Inv-2020/017</t>
        </is>
      </c>
      <c r="C88" s="5" t="inlineStr">
        <is>
          <t>Pratik Bajrang Varma</t>
        </is>
      </c>
      <c r="D88" s="5" t="inlineStr">
        <is>
          <t>Pune</t>
        </is>
      </c>
      <c r="E88" s="5" t="inlineStr">
        <is>
          <t>Sof-267</t>
        </is>
      </c>
      <c r="F88" s="5" t="inlineStr">
        <is>
          <t>Sofa 3-seater</t>
        </is>
      </c>
      <c r="G88" s="5" t="inlineStr">
        <is>
          <t>Sofa</t>
        </is>
      </c>
      <c r="H88" s="5" t="n">
        <v>1</v>
      </c>
      <c r="I88" s="5" t="n">
        <v>53000</v>
      </c>
      <c r="J88" s="6" t="n">
        <v>0.04</v>
      </c>
      <c r="K88" s="29">
        <f>I88-(I88*J88)</f>
        <v/>
      </c>
      <c r="L88" s="8" t="n">
        <v>0.18</v>
      </c>
      <c r="M88" s="29">
        <f>(K88*L88*H88)+H88*K88</f>
        <v/>
      </c>
      <c r="N88" s="30" t="n">
        <v>0</v>
      </c>
      <c r="O88" s="29">
        <f>M88-N88</f>
        <v/>
      </c>
      <c r="P88" s="5" t="inlineStr">
        <is>
          <t>Website</t>
        </is>
      </c>
      <c r="Q88" s="5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 ht="14.25" customHeight="1" s="27">
      <c r="A89" s="4" t="n">
        <v>44105</v>
      </c>
      <c r="B89" s="5" t="inlineStr">
        <is>
          <t>Inv-2020/024</t>
        </is>
      </c>
      <c r="C89" s="5" t="inlineStr">
        <is>
          <t>Jeenal Chadrakant Sudame</t>
        </is>
      </c>
      <c r="D89" s="5" t="inlineStr">
        <is>
          <t>Delhi</t>
        </is>
      </c>
      <c r="E89" s="5" t="inlineStr">
        <is>
          <t>Sof-268</t>
        </is>
      </c>
      <c r="F89" s="5" t="inlineStr">
        <is>
          <t>Sofa 5-seater</t>
        </is>
      </c>
      <c r="G89" s="5" t="inlineStr">
        <is>
          <t>Sofa</t>
        </is>
      </c>
      <c r="H89" s="5" t="n">
        <v>1</v>
      </c>
      <c r="I89" s="5" t="n">
        <v>76000</v>
      </c>
      <c r="J89" s="6" t="n">
        <v>0.01</v>
      </c>
      <c r="K89" s="29">
        <f>I89-(I89*J89)</f>
        <v/>
      </c>
      <c r="L89" s="8" t="n">
        <v>0.18</v>
      </c>
      <c r="M89" s="29">
        <f>(K89*L89*H89)+H89*K89</f>
        <v/>
      </c>
      <c r="N89" s="30" t="n">
        <v>0</v>
      </c>
      <c r="O89" s="29">
        <f>M89-N89</f>
        <v/>
      </c>
      <c r="P89" s="5" t="inlineStr">
        <is>
          <t>Website</t>
        </is>
      </c>
      <c r="Q89" s="5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 ht="14.25" customHeight="1" s="27">
      <c r="A90" s="4" t="n">
        <v>44111</v>
      </c>
      <c r="B90" s="5" t="inlineStr">
        <is>
          <t>Inv-2020/020</t>
        </is>
      </c>
      <c r="C90" s="5" t="inlineStr">
        <is>
          <t>Nidhish Bhagwandas Unecha</t>
        </is>
      </c>
      <c r="D90" s="5" t="inlineStr">
        <is>
          <t>Pune</t>
        </is>
      </c>
      <c r="E90" s="5" t="inlineStr">
        <is>
          <t>Rec-234</t>
        </is>
      </c>
      <c r="F90" s="5" t="inlineStr">
        <is>
          <t>Leather Recliner</t>
        </is>
      </c>
      <c r="G90" s="5" t="inlineStr">
        <is>
          <t>Sofa</t>
        </is>
      </c>
      <c r="H90" s="5" t="n">
        <v>1</v>
      </c>
      <c r="I90" s="5" t="n">
        <v>29800</v>
      </c>
      <c r="J90" s="6" t="n">
        <v>0.03</v>
      </c>
      <c r="K90" s="29">
        <f>I90-(I90*J90)</f>
        <v/>
      </c>
      <c r="L90" s="8" t="n">
        <v>0.18</v>
      </c>
      <c r="M90" s="29">
        <f>(K90*L90*H90)+H90*K90</f>
        <v/>
      </c>
      <c r="N90" s="30" t="n">
        <v>10232.724</v>
      </c>
      <c r="O90" s="29">
        <f>M90-N90</f>
        <v/>
      </c>
      <c r="P90" s="5" t="inlineStr">
        <is>
          <t>Amazon</t>
        </is>
      </c>
      <c r="Q90" s="5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 ht="14.25" customHeight="1" s="27">
      <c r="A91" s="4" t="n">
        <v>44111</v>
      </c>
      <c r="B91" s="5" t="inlineStr">
        <is>
          <t>Inv-2020/020</t>
        </is>
      </c>
      <c r="C91" s="5" t="inlineStr">
        <is>
          <t>Nidhish Bhagwandas Unecha</t>
        </is>
      </c>
      <c r="D91" s="5" t="inlineStr">
        <is>
          <t>Pune</t>
        </is>
      </c>
      <c r="E91" s="5" t="inlineStr">
        <is>
          <t>Rec-234</t>
        </is>
      </c>
      <c r="F91" s="5" t="inlineStr">
        <is>
          <t>Leather Recliner</t>
        </is>
      </c>
      <c r="G91" s="5" t="inlineStr">
        <is>
          <t>Sofa</t>
        </is>
      </c>
      <c r="H91" s="5" t="n">
        <v>2</v>
      </c>
      <c r="I91" s="5" t="n">
        <v>29800</v>
      </c>
      <c r="J91" s="6" t="n">
        <v>0.03</v>
      </c>
      <c r="K91" s="29">
        <f>I91-(I91*J91)</f>
        <v/>
      </c>
      <c r="L91" s="8" t="n">
        <v>0.18</v>
      </c>
      <c r="M91" s="29">
        <f>(K91*L91*H91)+H91*K91</f>
        <v/>
      </c>
      <c r="N91" s="30" t="n">
        <v>20465.448</v>
      </c>
      <c r="O91" s="29">
        <f>M91-N91</f>
        <v/>
      </c>
      <c r="P91" s="5" t="inlineStr">
        <is>
          <t>Amazon</t>
        </is>
      </c>
      <c r="Q91" s="5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 ht="14.25" customHeight="1" s="27">
      <c r="A92" s="4" t="n">
        <v>44112</v>
      </c>
      <c r="B92" s="5" t="inlineStr">
        <is>
          <t>Inv-2020/026</t>
        </is>
      </c>
      <c r="C92" s="5" t="inlineStr">
        <is>
          <t>Divya Das Shinde</t>
        </is>
      </c>
      <c r="D92" s="5" t="inlineStr">
        <is>
          <t>Bangalore</t>
        </is>
      </c>
      <c r="E92" s="5" t="inlineStr">
        <is>
          <t>Chr-845</t>
        </is>
      </c>
      <c r="F92" s="5" t="inlineStr">
        <is>
          <t>Arm Chair</t>
        </is>
      </c>
      <c r="G92" s="5" t="inlineStr">
        <is>
          <t>Sofa</t>
        </is>
      </c>
      <c r="H92" s="5" t="n">
        <v>1</v>
      </c>
      <c r="I92" s="5" t="n">
        <v>7000</v>
      </c>
      <c r="J92" s="6" t="n">
        <v>0.05</v>
      </c>
      <c r="K92" s="29">
        <f>I92-(I92*J92)</f>
        <v/>
      </c>
      <c r="L92" s="8" t="n">
        <v>0.18</v>
      </c>
      <c r="M92" s="29">
        <f>(K92*L92*H92)+H92*K92</f>
        <v/>
      </c>
      <c r="N92" s="30" t="n">
        <v>0</v>
      </c>
      <c r="O92" s="29">
        <f>M92-N92</f>
        <v/>
      </c>
      <c r="P92" s="5" t="inlineStr">
        <is>
          <t>Website</t>
        </is>
      </c>
      <c r="Q92" s="5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 ht="14.25" customHeight="1" s="27">
      <c r="A93" s="4" t="n">
        <v>44112</v>
      </c>
      <c r="B93" s="5" t="inlineStr">
        <is>
          <t>Inv-2020/026</t>
        </is>
      </c>
      <c r="C93" s="5" t="inlineStr">
        <is>
          <t>Divya Das Shinde</t>
        </is>
      </c>
      <c r="D93" s="5" t="inlineStr">
        <is>
          <t>Bangalore</t>
        </is>
      </c>
      <c r="E93" s="5" t="inlineStr">
        <is>
          <t>Tab-565</t>
        </is>
      </c>
      <c r="F93" s="5" t="inlineStr">
        <is>
          <t>Dining Table 6-seater</t>
        </is>
      </c>
      <c r="G93" s="5" t="inlineStr">
        <is>
          <t>Table</t>
        </is>
      </c>
      <c r="H93" s="5" t="n">
        <v>1</v>
      </c>
      <c r="I93" s="5" t="n">
        <v>32450</v>
      </c>
      <c r="J93" s="6" t="n">
        <v>0.01</v>
      </c>
      <c r="K93" s="29">
        <f>I93-(I93*J93)</f>
        <v/>
      </c>
      <c r="L93" s="8" t="n">
        <v>0.18</v>
      </c>
      <c r="M93" s="29">
        <f>(K93*L93*H93)+H93*K93</f>
        <v/>
      </c>
      <c r="N93" s="30" t="n">
        <v>0</v>
      </c>
      <c r="O93" s="29">
        <f>M93-N93</f>
        <v/>
      </c>
      <c r="P93" s="5" t="inlineStr">
        <is>
          <t>Website</t>
        </is>
      </c>
      <c r="Q93" s="5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 ht="14.25" customHeight="1" s="27">
      <c r="A94" s="4" t="n">
        <v>44113</v>
      </c>
      <c r="B94" s="5" t="inlineStr">
        <is>
          <t>Inv-2020/069</t>
        </is>
      </c>
      <c r="C94" s="5" t="inlineStr">
        <is>
          <t>Akash Manoj Maheshwari</t>
        </is>
      </c>
      <c r="D94" s="5" t="inlineStr">
        <is>
          <t>Mumbai</t>
        </is>
      </c>
      <c r="E94" s="5" t="inlineStr">
        <is>
          <t>Chr-845</t>
        </is>
      </c>
      <c r="F94" s="5" t="inlineStr">
        <is>
          <t>Arm Chair</t>
        </is>
      </c>
      <c r="G94" s="5" t="inlineStr">
        <is>
          <t>Sofa</t>
        </is>
      </c>
      <c r="H94" s="5" t="n">
        <v>1</v>
      </c>
      <c r="I94" s="5" t="n">
        <v>7000</v>
      </c>
      <c r="J94" s="6" t="n">
        <v>0.02</v>
      </c>
      <c r="K94" s="29">
        <f>I94-(I94*J94)</f>
        <v/>
      </c>
      <c r="L94" s="8" t="n">
        <v>0.18</v>
      </c>
      <c r="M94" s="29">
        <f>(K94*L94*H94)+H94*K94</f>
        <v/>
      </c>
      <c r="N94" s="30" t="n">
        <v>0</v>
      </c>
      <c r="O94" s="29">
        <f>M94-N94</f>
        <v/>
      </c>
      <c r="P94" s="5" t="inlineStr">
        <is>
          <t>Store</t>
        </is>
      </c>
      <c r="Q94" s="5" t="inlineStr">
        <is>
          <t>Mumbai</t>
        </is>
      </c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 ht="14.25" customHeight="1" s="27">
      <c r="A95" s="4" t="n">
        <v>44127</v>
      </c>
      <c r="B95" s="5" t="inlineStr">
        <is>
          <t>Inv-2020/071</t>
        </is>
      </c>
      <c r="C95" s="5" t="inlineStr">
        <is>
          <t>Yash Maruti Lathi</t>
        </is>
      </c>
      <c r="D95" s="5" t="inlineStr">
        <is>
          <t>Mumbai</t>
        </is>
      </c>
      <c r="E95" s="5" t="inlineStr">
        <is>
          <t>Sof-267</t>
        </is>
      </c>
      <c r="F95" s="5" t="inlineStr">
        <is>
          <t>Sofa 3-seater</t>
        </is>
      </c>
      <c r="G95" s="5" t="inlineStr">
        <is>
          <t>Sofa</t>
        </is>
      </c>
      <c r="H95" s="5" t="n">
        <v>1</v>
      </c>
      <c r="I95" s="5" t="n">
        <v>53000</v>
      </c>
      <c r="J95" s="6" t="n">
        <v>0.03</v>
      </c>
      <c r="K95" s="29">
        <f>I95-(I95*J95)</f>
        <v/>
      </c>
      <c r="L95" s="8" t="n">
        <v>0.18</v>
      </c>
      <c r="M95" s="29">
        <f>(K95*L95*H95)+H95*K95</f>
        <v/>
      </c>
      <c r="N95" s="30" t="n">
        <v>0</v>
      </c>
      <c r="O95" s="29">
        <f>M95-N95</f>
        <v/>
      </c>
      <c r="P95" s="5" t="inlineStr">
        <is>
          <t>Store</t>
        </is>
      </c>
      <c r="Q95" s="5" t="inlineStr">
        <is>
          <t>Mumbai</t>
        </is>
      </c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 ht="14.25" customHeight="1" s="27">
      <c r="A96" s="4" t="n">
        <v>44141</v>
      </c>
      <c r="B96" s="5" t="inlineStr">
        <is>
          <t>Inv-2020/055</t>
        </is>
      </c>
      <c r="C96" s="5" t="inlineStr">
        <is>
          <t>Manas Khandu Parakh</t>
        </is>
      </c>
      <c r="D96" s="5" t="inlineStr">
        <is>
          <t>Mumbai</t>
        </is>
      </c>
      <c r="E96" s="5" t="inlineStr">
        <is>
          <t>Cab-265</t>
        </is>
      </c>
      <c r="F96" s="5" t="inlineStr">
        <is>
          <t>TV Cabinet</t>
        </is>
      </c>
      <c r="G96" s="5" t="inlineStr">
        <is>
          <t>Cabinet</t>
        </is>
      </c>
      <c r="H96" s="5" t="n">
        <v>1</v>
      </c>
      <c r="I96" s="5" t="n">
        <v>12450</v>
      </c>
      <c r="J96" s="6" t="n">
        <v>0.02</v>
      </c>
      <c r="K96" s="29">
        <f>I96-(I96*J96)</f>
        <v/>
      </c>
      <c r="L96" s="8" t="n">
        <v>0.18</v>
      </c>
      <c r="M96" s="29">
        <f>(K96*L96*H96)+H96*K96</f>
        <v/>
      </c>
      <c r="N96" s="30" t="n">
        <v>4319.154</v>
      </c>
      <c r="O96" s="29">
        <f>M96-N96</f>
        <v/>
      </c>
      <c r="P96" s="5" t="inlineStr">
        <is>
          <t>Amazon</t>
        </is>
      </c>
      <c r="Q96" s="5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 ht="14.25" customHeight="1" s="27">
      <c r="A97" s="4" t="n">
        <v>44147</v>
      </c>
      <c r="B97" s="5" t="inlineStr">
        <is>
          <t>Inv-2020/019</t>
        </is>
      </c>
      <c r="C97" s="5" t="inlineStr">
        <is>
          <t>Omkar Basappa Varak</t>
        </is>
      </c>
      <c r="D97" s="5" t="inlineStr">
        <is>
          <t>Mumbai</t>
        </is>
      </c>
      <c r="E97" s="5" t="inlineStr">
        <is>
          <t>Cab-265</t>
        </is>
      </c>
      <c r="F97" s="5" t="inlineStr">
        <is>
          <t>TV Cabinet</t>
        </is>
      </c>
      <c r="G97" s="5" t="inlineStr">
        <is>
          <t>Cabinet</t>
        </is>
      </c>
      <c r="H97" s="5" t="n">
        <v>1</v>
      </c>
      <c r="I97" s="5" t="n">
        <v>12450</v>
      </c>
      <c r="J97" s="6" t="n">
        <v>0.02</v>
      </c>
      <c r="K97" s="29">
        <f>I97-(I97*J97)</f>
        <v/>
      </c>
      <c r="L97" s="8" t="n">
        <v>0.18</v>
      </c>
      <c r="M97" s="29">
        <f>(K97*L97*H97)+H97*K97</f>
        <v/>
      </c>
      <c r="N97" s="30" t="n">
        <v>0</v>
      </c>
      <c r="O97" s="29">
        <f>M97-N97</f>
        <v/>
      </c>
      <c r="P97" s="5" t="inlineStr">
        <is>
          <t>Store</t>
        </is>
      </c>
      <c r="Q97" s="5" t="inlineStr">
        <is>
          <t>Mumbai</t>
        </is>
      </c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 ht="14.25" customHeight="1" s="27">
      <c r="A98" s="4" t="n">
        <v>44155</v>
      </c>
      <c r="B98" s="5" t="inlineStr">
        <is>
          <t>Inv-2020/054</t>
        </is>
      </c>
      <c r="C98" s="5" t="inlineStr">
        <is>
          <t>Mayur Kausar Pardeshi</t>
        </is>
      </c>
      <c r="D98" s="5" t="inlineStr">
        <is>
          <t>Ahmedabad</t>
        </is>
      </c>
      <c r="E98" s="5" t="inlineStr">
        <is>
          <t>Tab-565</t>
        </is>
      </c>
      <c r="F98" s="5" t="inlineStr">
        <is>
          <t>Dining Table 6-seater</t>
        </is>
      </c>
      <c r="G98" s="5" t="inlineStr">
        <is>
          <t>Table</t>
        </is>
      </c>
      <c r="H98" s="5" t="n">
        <v>1</v>
      </c>
      <c r="I98" s="5" t="n">
        <v>32450</v>
      </c>
      <c r="J98" s="6" t="n">
        <v>0</v>
      </c>
      <c r="K98" s="29">
        <f>I98-(I98*J98)</f>
        <v/>
      </c>
      <c r="L98" s="8" t="n">
        <v>0.18</v>
      </c>
      <c r="M98" s="29">
        <f>(K98*L98*H98)+H98*K98</f>
        <v/>
      </c>
      <c r="N98" s="30" t="n">
        <v>10338.57</v>
      </c>
      <c r="O98" s="29">
        <f>M98-N98</f>
        <v/>
      </c>
      <c r="P98" s="5" t="inlineStr">
        <is>
          <t>Flipkart</t>
        </is>
      </c>
      <c r="Q98" s="5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 ht="14.25" customHeight="1" s="27">
      <c r="A99" s="4" t="n">
        <v>44160</v>
      </c>
      <c r="B99" s="5" t="inlineStr">
        <is>
          <t>Inv-2020/066</t>
        </is>
      </c>
      <c r="C99" s="5" t="inlineStr">
        <is>
          <t>Anjali Maheshwari Manglani</t>
        </is>
      </c>
      <c r="D99" s="5" t="inlineStr">
        <is>
          <t>Pune</t>
        </is>
      </c>
      <c r="E99" s="5" t="inlineStr">
        <is>
          <t>Rec-234</t>
        </is>
      </c>
      <c r="F99" s="5" t="inlineStr">
        <is>
          <t>Leather Recliner</t>
        </is>
      </c>
      <c r="G99" s="5" t="inlineStr">
        <is>
          <t>Sofa</t>
        </is>
      </c>
      <c r="H99" s="5" t="n">
        <v>1</v>
      </c>
      <c r="I99" s="5" t="n">
        <v>29800</v>
      </c>
      <c r="J99" s="6" t="n">
        <v>0.03</v>
      </c>
      <c r="K99" s="29">
        <f>I99-(I99*J99)</f>
        <v/>
      </c>
      <c r="L99" s="8" t="n">
        <v>0.18</v>
      </c>
      <c r="M99" s="29">
        <f>(K99*L99*H99)+H99*K99</f>
        <v/>
      </c>
      <c r="N99" s="30" t="n">
        <v>0</v>
      </c>
      <c r="O99" s="29">
        <f>M99-N99</f>
        <v/>
      </c>
      <c r="P99" s="5" t="inlineStr">
        <is>
          <t>Store</t>
        </is>
      </c>
      <c r="Q99" s="5" t="inlineStr">
        <is>
          <t>Pune</t>
        </is>
      </c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 ht="14.25" customHeight="1" s="27">
      <c r="A100" s="4" t="n">
        <v>44161</v>
      </c>
      <c r="B100" s="5" t="inlineStr">
        <is>
          <t>Inv-2020/003</t>
        </is>
      </c>
      <c r="C100" s="5" t="inlineStr">
        <is>
          <t>Vaibhavi Ajay Shekhar</t>
        </is>
      </c>
      <c r="D100" s="5" t="inlineStr">
        <is>
          <t>Mumbai</t>
        </is>
      </c>
      <c r="E100" s="5" t="inlineStr">
        <is>
          <t>Cab-265</t>
        </is>
      </c>
      <c r="F100" s="5" t="inlineStr">
        <is>
          <t>TV Cabinet</t>
        </is>
      </c>
      <c r="G100" s="5" t="inlineStr">
        <is>
          <t>Cabinet</t>
        </is>
      </c>
      <c r="H100" s="5" t="n">
        <v>1</v>
      </c>
      <c r="I100" s="5" t="n">
        <v>12450</v>
      </c>
      <c r="J100" s="6" t="n">
        <v>0</v>
      </c>
      <c r="K100" s="29">
        <f>I100-(I100*J100)</f>
        <v/>
      </c>
      <c r="L100" s="8" t="n">
        <v>0.18</v>
      </c>
      <c r="M100" s="29">
        <f>(K100*L100*H100)+H100*K100</f>
        <v/>
      </c>
      <c r="N100" s="30" t="n">
        <v>4407.3</v>
      </c>
      <c r="O100" s="29">
        <f>M100-N100</f>
        <v/>
      </c>
      <c r="P100" s="5" t="inlineStr">
        <is>
          <t>Amazon</t>
        </is>
      </c>
      <c r="Q100" s="5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 ht="14.25" customHeight="1" s="27">
      <c r="A101" s="4" t="n">
        <v>44164</v>
      </c>
      <c r="B101" s="5" t="inlineStr">
        <is>
          <t>Inv-2020/062</t>
        </is>
      </c>
      <c r="C101" s="5" t="inlineStr">
        <is>
          <t>Darshan Madhavrao Mundada</t>
        </is>
      </c>
      <c r="D101" s="5" t="inlineStr">
        <is>
          <t>Ahmedabad</t>
        </is>
      </c>
      <c r="E101" s="5" t="inlineStr">
        <is>
          <t>Tab-565</t>
        </is>
      </c>
      <c r="F101" s="5" t="inlineStr">
        <is>
          <t>Dining Table 6-seater</t>
        </is>
      </c>
      <c r="G101" s="5" t="inlineStr">
        <is>
          <t>Table</t>
        </is>
      </c>
      <c r="H101" s="5" t="n">
        <v>1</v>
      </c>
      <c r="I101" s="5" t="n">
        <v>32450</v>
      </c>
      <c r="J101" s="6" t="n">
        <v>0</v>
      </c>
      <c r="K101" s="29">
        <f>I101-(I101*J101)</f>
        <v/>
      </c>
      <c r="L101" s="8" t="n">
        <v>0.18</v>
      </c>
      <c r="M101" s="29">
        <f>(K101*L101*H101)+H101*K101</f>
        <v/>
      </c>
      <c r="N101" s="30" t="n">
        <v>10338.57</v>
      </c>
      <c r="O101" s="29">
        <f>M101-N101</f>
        <v/>
      </c>
      <c r="P101" s="5" t="inlineStr">
        <is>
          <t>Flipkart</t>
        </is>
      </c>
      <c r="Q101" s="5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 ht="14.25" customHeight="1" s="27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 ht="14.25" customHeight="1" s="27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 ht="14.25" customHeight="1" s="27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 ht="14.25" customHeight="1" s="27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 ht="14.25" customHeight="1" s="27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 ht="14.25" customHeight="1" s="2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 ht="14.25" customHeight="1" s="27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 ht="14.25" customHeight="1" s="27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 ht="14.25" customHeight="1" s="27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 ht="14.25" customHeight="1" s="27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 ht="14.25" customHeight="1" s="27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 ht="14.25" customHeight="1" s="27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 ht="14.25" customHeight="1" s="27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 ht="14.25" customHeight="1" s="27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 ht="14.25" customHeight="1" s="27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 ht="14.25" customHeight="1" s="2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 ht="14.25" customHeight="1" s="27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 ht="14.25" customHeight="1" s="27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 ht="14.25" customHeight="1" s="27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 ht="14.25" customHeight="1" s="27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 ht="14.25" customHeight="1" s="27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 ht="14.25" customHeight="1" s="27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 ht="14.25" customHeight="1" s="27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 ht="14.25" customHeight="1" s="27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 ht="14.25" customHeight="1" s="27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 ht="14.25" customHeight="1" s="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 ht="14.25" customHeight="1" s="27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 ht="14.25" customHeight="1" s="27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 ht="14.25" customHeight="1" s="27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 ht="14.25" customHeight="1" s="27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 ht="14.25" customHeight="1" s="27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 ht="14.25" customHeight="1" s="27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 ht="14.25" customHeight="1" s="27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 ht="14.25" customHeight="1" s="27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 ht="14.25" customHeight="1" s="27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 ht="14.25" customHeight="1" s="2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 ht="14.25" customHeight="1" s="27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 ht="14.25" customHeight="1" s="27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 ht="14.25" customHeight="1" s="27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 ht="14.25" customHeight="1" s="27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 ht="14.25" customHeight="1" s="27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 ht="14.25" customHeight="1" s="27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 ht="14.25" customHeight="1" s="27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 ht="14.25" customHeight="1" s="27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 ht="14.25" customHeight="1" s="27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 ht="14.25" customHeight="1" s="2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 ht="14.25" customHeight="1" s="27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 ht="14.25" customHeight="1" s="27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 ht="14.25" customHeight="1" s="27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 ht="14.25" customHeight="1" s="27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 ht="14.25" customHeight="1" s="27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 ht="14.25" customHeight="1" s="27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 ht="14.25" customHeight="1" s="27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 ht="14.25" customHeight="1" s="27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 ht="14.25" customHeight="1" s="27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 ht="14.25" customHeight="1" s="2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 ht="14.25" customHeight="1" s="27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 ht="14.25" customHeight="1" s="27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 ht="14.25" customHeight="1" s="27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 ht="14.25" customHeight="1" s="27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 ht="14.25" customHeight="1" s="27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 ht="14.25" customHeight="1" s="27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 ht="14.25" customHeight="1" s="27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 ht="14.25" customHeight="1" s="27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 ht="14.25" customHeight="1" s="27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 ht="14.25" customHeight="1" s="2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 ht="14.25" customHeight="1" s="27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 ht="14.25" customHeight="1" s="27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 ht="14.25" customHeight="1" s="27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 ht="14.25" customHeight="1" s="27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 ht="14.25" customHeight="1" s="27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 ht="14.25" customHeight="1" s="27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 ht="14.25" customHeight="1" s="27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 ht="14.25" customHeight="1" s="27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 ht="14.25" customHeight="1" s="27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 ht="14.25" customHeight="1" s="2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 ht="14.25" customHeight="1" s="27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 ht="14.25" customHeight="1" s="27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 ht="14.25" customHeight="1" s="27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 ht="14.25" customHeight="1" s="27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 ht="14.25" customHeight="1" s="27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 ht="14.25" customHeight="1" s="27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 ht="14.25" customHeight="1" s="27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 ht="14.25" customHeight="1" s="27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 ht="14.25" customHeight="1" s="27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 ht="14.25" customHeight="1" s="2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 ht="14.25" customHeight="1" s="27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 ht="14.25" customHeight="1" s="27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 ht="14.25" customHeight="1" s="27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 ht="14.25" customHeight="1" s="27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 ht="14.25" customHeight="1" s="27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 ht="14.25" customHeight="1" s="27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 ht="14.25" customHeight="1" s="27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 ht="14.25" customHeight="1" s="27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 ht="14.25" customHeight="1" s="27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 ht="14.25" customHeight="1" s="2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 ht="14.25" customHeight="1" s="27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 ht="14.25" customHeight="1" s="27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 ht="14.25" customHeight="1" s="27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 ht="14.25" customHeight="1" s="27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 ht="14.25" customHeight="1" s="27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 ht="14.25" customHeight="1" s="27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 ht="14.25" customHeight="1" s="27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 ht="14.25" customHeight="1" s="27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 ht="14.25" customHeight="1" s="27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 ht="14.25" customHeight="1" s="2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 ht="14.25" customHeight="1" s="27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 ht="14.25" customHeight="1" s="27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 ht="14.25" customHeight="1" s="27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 ht="14.25" customHeight="1" s="27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 ht="14.25" customHeight="1" s="27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 ht="14.25" customHeight="1" s="27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 ht="14.25" customHeight="1" s="27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 ht="14.25" customHeight="1" s="27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 ht="14.25" customHeight="1" s="27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 ht="14.25" customHeight="1" s="2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 ht="14.25" customHeight="1" s="27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 ht="14.25" customHeight="1" s="27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 ht="14.25" customHeight="1" s="27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 ht="14.25" customHeight="1" s="27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 ht="14.25" customHeight="1" s="27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 ht="14.25" customHeight="1" s="27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 ht="14.25" customHeight="1" s="27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 ht="14.25" customHeight="1" s="27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 ht="14.25" customHeight="1" s="27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 ht="14.25" customHeight="1" s="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 ht="14.25" customHeight="1" s="27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 ht="14.25" customHeight="1" s="27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 ht="14.25" customHeight="1" s="27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 ht="14.25" customHeight="1" s="27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 ht="14.25" customHeight="1" s="27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 ht="14.25" customHeight="1" s="27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 ht="14.25" customHeight="1" s="27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 ht="14.25" customHeight="1" s="27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 ht="14.25" customHeight="1" s="27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 ht="14.25" customHeight="1" s="2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 ht="14.25" customHeight="1" s="27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 ht="14.25" customHeight="1" s="27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 ht="14.25" customHeight="1" s="27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 ht="14.25" customHeight="1" s="27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 ht="14.25" customHeight="1" s="27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 ht="14.25" customHeight="1" s="27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 ht="14.25" customHeight="1" s="27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 ht="14.25" customHeight="1" s="27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 ht="14.25" customHeight="1" s="27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 ht="14.25" customHeight="1" s="2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 ht="14.25" customHeight="1" s="27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 ht="14.25" customHeight="1" s="27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 ht="14.25" customHeight="1" s="27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 ht="14.25" customHeight="1" s="27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 ht="14.25" customHeight="1" s="27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 ht="14.25" customHeight="1" s="27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 ht="14.25" customHeight="1" s="27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 ht="14.25" customHeight="1" s="27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 ht="14.25" customHeight="1" s="27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 ht="14.25" customHeight="1" s="2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 ht="14.25" customHeight="1" s="27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 ht="14.25" customHeight="1" s="27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 ht="14.25" customHeight="1" s="27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 ht="14.25" customHeight="1" s="27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 ht="14.25" customHeight="1" s="27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 ht="14.25" customHeight="1" s="27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 ht="14.25" customHeight="1" s="27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 ht="14.25" customHeight="1" s="27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 ht="14.25" customHeight="1" s="27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 ht="14.25" customHeight="1" s="2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 ht="14.25" customHeight="1" s="27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 ht="14.25" customHeight="1" s="27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 ht="14.25" customHeight="1" s="27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 ht="14.25" customHeight="1" s="27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 ht="14.25" customHeight="1" s="27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 ht="14.25" customHeight="1" s="27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 ht="14.25" customHeight="1" s="27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 ht="14.25" customHeight="1" s="27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 ht="14.25" customHeight="1" s="27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 ht="14.25" customHeight="1" s="2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 ht="14.25" customHeight="1" s="27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 ht="14.25" customHeight="1" s="27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 ht="14.25" customHeight="1" s="27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 ht="14.25" customHeight="1" s="27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 ht="14.25" customHeight="1" s="27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 ht="14.25" customHeight="1" s="27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 ht="14.25" customHeight="1" s="27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 ht="14.25" customHeight="1" s="27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 ht="14.25" customHeight="1" s="27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 ht="14.25" customHeight="1" s="2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 ht="14.25" customHeight="1" s="27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 ht="14.25" customHeight="1" s="27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 ht="14.25" customHeight="1" s="27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 ht="14.25" customHeight="1" s="27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 ht="14.25" customHeight="1" s="27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 ht="14.25" customHeight="1" s="27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 ht="14.25" customHeight="1" s="27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 ht="14.25" customHeight="1" s="27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 ht="14.25" customHeight="1" s="27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 ht="14.25" customHeight="1" s="2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 ht="14.25" customHeight="1" s="27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 ht="14.25" customHeight="1" s="27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 ht="14.25" customHeight="1" s="27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 ht="14.25" customHeight="1" s="27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 ht="14.25" customHeight="1" s="27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 ht="14.25" customHeight="1" s="27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 ht="14.25" customHeight="1" s="27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 ht="14.25" customHeight="1" s="27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 ht="14.25" customHeight="1" s="27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 ht="14.25" customHeight="1" s="2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 ht="14.25" customHeight="1" s="27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 ht="14.25" customHeight="1" s="27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 ht="14.25" customHeight="1" s="27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 ht="14.25" customHeight="1" s="27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 ht="14.25" customHeight="1" s="27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 ht="14.25" customHeight="1" s="27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 ht="14.25" customHeight="1" s="27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 ht="14.25" customHeight="1" s="27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 ht="14.25" customHeight="1" s="27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 ht="14.25" customHeight="1" s="2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 ht="14.25" customHeight="1" s="27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 ht="14.25" customHeight="1" s="27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 ht="14.25" customHeight="1" s="27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 ht="14.25" customHeight="1" s="27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 ht="14.25" customHeight="1" s="27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 ht="14.25" customHeight="1" s="27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 ht="14.25" customHeight="1" s="27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 ht="14.25" customHeight="1" s="27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 ht="14.25" customHeight="1" s="27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 ht="14.25" customHeight="1" s="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 ht="14.25" customHeight="1" s="27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 ht="14.25" customHeight="1" s="27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 ht="14.25" customHeight="1" s="27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 ht="14.25" customHeight="1" s="27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 ht="14.25" customHeight="1" s="27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 ht="14.25" customHeight="1" s="27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 ht="14.25" customHeight="1" s="27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 ht="14.25" customHeight="1" s="27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 ht="14.25" customHeight="1" s="27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 ht="14.25" customHeight="1" s="2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 ht="14.25" customHeight="1" s="27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 ht="14.25" customHeight="1" s="27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 ht="14.25" customHeight="1" s="27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 ht="14.25" customHeight="1" s="27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 ht="14.25" customHeight="1" s="27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 ht="14.25" customHeight="1" s="27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 ht="14.25" customHeight="1" s="27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 ht="14.25" customHeight="1" s="27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 ht="14.25" customHeight="1" s="27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 ht="14.25" customHeight="1" s="2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 ht="14.25" customHeight="1" s="27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 ht="14.25" customHeight="1" s="27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 ht="14.25" customHeight="1" s="27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 ht="14.25" customHeight="1" s="27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 ht="14.25" customHeight="1" s="27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 ht="14.25" customHeight="1" s="27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 ht="14.25" customHeight="1" s="27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 ht="14.25" customHeight="1" s="27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 ht="14.25" customHeight="1" s="27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 ht="14.25" customHeight="1" s="2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 ht="14.25" customHeight="1" s="27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 ht="14.25" customHeight="1" s="27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 ht="14.25" customHeight="1" s="27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 ht="14.25" customHeight="1" s="27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 ht="14.25" customHeight="1" s="27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 ht="14.25" customHeight="1" s="27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 ht="14.25" customHeight="1" s="27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 ht="14.25" customHeight="1" s="27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 ht="14.25" customHeight="1" s="27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 ht="14.25" customHeight="1" s="2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 ht="14.25" customHeight="1" s="27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 ht="14.25" customHeight="1" s="27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 ht="14.25" customHeight="1" s="27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 ht="14.25" customHeight="1" s="27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 ht="14.25" customHeight="1" s="27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 ht="14.25" customHeight="1" s="27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 ht="14.25" customHeight="1" s="27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 ht="14.25" customHeight="1" s="27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 ht="14.25" customHeight="1" s="27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 ht="14.25" customHeight="1" s="2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 ht="14.25" customHeight="1" s="27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 ht="14.25" customHeight="1" s="27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 ht="14.25" customHeight="1" s="27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 ht="14.25" customHeight="1" s="27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 ht="14.25" customHeight="1" s="27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 ht="14.25" customHeight="1" s="27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 ht="14.25" customHeight="1" s="27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 ht="14.25" customHeight="1" s="27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 ht="14.25" customHeight="1" s="27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 ht="14.25" customHeight="1" s="2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 ht="14.25" customHeight="1" s="27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 ht="14.25" customHeight="1" s="27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 ht="14.25" customHeight="1" s="27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 ht="14.25" customHeight="1" s="27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 ht="14.25" customHeight="1" s="27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 ht="14.25" customHeight="1" s="27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 ht="14.25" customHeight="1" s="27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 ht="14.25" customHeight="1" s="27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 ht="14.25" customHeight="1" s="27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 ht="14.25" customHeight="1" s="2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 ht="14.25" customHeight="1" s="27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 ht="14.25" customHeight="1" s="27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 ht="14.25" customHeight="1" s="27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 ht="14.25" customHeight="1" s="27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 ht="14.25" customHeight="1" s="27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 ht="14.25" customHeight="1" s="27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 ht="14.25" customHeight="1" s="27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 ht="14.25" customHeight="1" s="27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 ht="14.25" customHeight="1" s="27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 ht="14.25" customHeight="1" s="2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 ht="14.25" customHeight="1" s="27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 ht="14.25" customHeight="1" s="27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 ht="14.25" customHeight="1" s="27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 ht="14.25" customHeight="1" s="27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 ht="14.25" customHeight="1" s="27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 ht="14.25" customHeight="1" s="27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 ht="14.25" customHeight="1" s="27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 ht="14.25" customHeight="1" s="27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 ht="14.25" customHeight="1" s="27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 ht="14.25" customHeight="1" s="2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 ht="14.25" customHeight="1" s="27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 ht="14.25" customHeight="1" s="27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 ht="14.25" customHeight="1" s="27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 ht="14.25" customHeight="1" s="27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 ht="14.25" customHeight="1" s="27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 ht="14.25" customHeight="1" s="27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 ht="14.25" customHeight="1" s="27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 ht="14.25" customHeight="1" s="27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 ht="14.25" customHeight="1" s="27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 ht="14.25" customHeight="1" s="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 ht="14.25" customHeight="1" s="27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 ht="14.25" customHeight="1" s="27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 ht="14.25" customHeight="1" s="27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 ht="14.25" customHeight="1" s="27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 ht="14.25" customHeight="1" s="27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 ht="14.25" customHeight="1" s="27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 ht="14.25" customHeight="1" s="27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 ht="14.25" customHeight="1" s="27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 ht="14.25" customHeight="1" s="27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 ht="14.25" customHeight="1" s="2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 ht="14.25" customHeight="1" s="27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 ht="14.25" customHeight="1" s="27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 ht="14.25" customHeight="1" s="27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 ht="14.25" customHeight="1" s="27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 ht="14.25" customHeight="1" s="27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 ht="14.25" customHeight="1" s="27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 ht="14.25" customHeight="1" s="27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 ht="14.25" customHeight="1" s="27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 ht="14.25" customHeight="1" s="27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 ht="14.25" customHeight="1" s="2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 ht="14.25" customHeight="1" s="27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 ht="14.25" customHeight="1" s="27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 ht="14.25" customHeight="1" s="27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 ht="14.25" customHeight="1" s="27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 ht="14.25" customHeight="1" s="27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 ht="14.25" customHeight="1" s="27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 ht="14.25" customHeight="1" s="27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 ht="14.25" customHeight="1" s="27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 ht="14.25" customHeight="1" s="27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 ht="14.25" customHeight="1" s="2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 ht="14.25" customHeight="1" s="27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 ht="14.25" customHeight="1" s="27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 ht="14.25" customHeight="1" s="27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 ht="14.25" customHeight="1" s="27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 ht="14.25" customHeight="1" s="27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 ht="14.25" customHeight="1" s="27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 ht="14.25" customHeight="1" s="27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 ht="14.25" customHeight="1" s="27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 ht="14.25" customHeight="1" s="27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 ht="14.25" customHeight="1" s="2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 ht="14.25" customHeight="1" s="27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 ht="14.25" customHeight="1" s="27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 ht="14.25" customHeight="1" s="27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 ht="14.25" customHeight="1" s="27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 ht="14.25" customHeight="1" s="27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 ht="14.25" customHeight="1" s="27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 ht="14.25" customHeight="1" s="27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 ht="14.25" customHeight="1" s="27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 ht="14.25" customHeight="1" s="27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 ht="14.25" customHeight="1" s="2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 ht="14.25" customHeight="1" s="27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 ht="14.25" customHeight="1" s="27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 ht="14.25" customHeight="1" s="27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 ht="14.25" customHeight="1" s="27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 ht="14.25" customHeight="1" s="27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 ht="14.25" customHeight="1" s="27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 ht="14.25" customHeight="1" s="27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 ht="14.25" customHeight="1" s="27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 ht="14.25" customHeight="1" s="27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 ht="14.25" customHeight="1" s="2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 ht="14.25" customHeight="1" s="27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 ht="14.25" customHeight="1" s="27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 ht="14.25" customHeight="1" s="27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 ht="14.25" customHeight="1" s="27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 ht="14.25" customHeight="1" s="27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 ht="14.25" customHeight="1" s="27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 ht="14.25" customHeight="1" s="27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 ht="14.25" customHeight="1" s="27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 ht="14.25" customHeight="1" s="27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 ht="14.25" customHeight="1" s="2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 ht="14.25" customHeight="1" s="27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 ht="14.25" customHeight="1" s="27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 ht="14.25" customHeight="1" s="27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 ht="14.25" customHeight="1" s="27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 ht="14.25" customHeight="1" s="27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 ht="14.25" customHeight="1" s="27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 ht="14.25" customHeight="1" s="27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 ht="14.25" customHeight="1" s="27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 ht="14.25" customHeight="1" s="27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 ht="14.25" customHeight="1" s="27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 ht="14.25" customHeight="1" s="27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 ht="14.25" customHeight="1" s="27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 ht="14.25" customHeight="1" s="27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 ht="14.25" customHeight="1" s="27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 ht="14.25" customHeight="1" s="27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 ht="14.25" customHeight="1" s="27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 ht="14.25" customHeight="1" s="27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 ht="14.25" customHeight="1" s="27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 ht="14.25" customHeight="1" s="27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 ht="14.25" customHeight="1" s="27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 ht="14.25" customHeight="1" s="27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 ht="14.25" customHeight="1" s="27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 ht="14.25" customHeight="1" s="27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 ht="14.25" customHeight="1" s="27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 ht="14.25" customHeight="1" s="27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 ht="14.25" customHeight="1" s="27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 ht="14.25" customHeight="1" s="27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 ht="14.25" customHeight="1" s="27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 ht="14.25" customHeight="1" s="27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 ht="14.25" customHeight="1" s="27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 ht="14.25" customHeight="1" s="27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 ht="14.25" customHeight="1" s="27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 ht="14.25" customHeight="1" s="27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 ht="14.25" customHeight="1" s="27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 ht="14.25" customHeight="1" s="27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 ht="14.25" customHeight="1" s="27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 ht="14.25" customHeight="1" s="27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 ht="14.25" customHeight="1" s="27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 ht="14.25" customHeight="1" s="27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 ht="14.25" customHeight="1" s="27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 ht="14.25" customHeight="1" s="27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 ht="14.25" customHeight="1" s="27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 ht="14.25" customHeight="1" s="27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 ht="14.25" customHeight="1" s="27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 ht="14.25" customHeight="1" s="27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 ht="14.25" customHeight="1" s="27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 ht="14.25" customHeight="1" s="27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 ht="14.25" customHeight="1" s="27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 ht="14.25" customHeight="1" s="27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 ht="14.25" customHeight="1" s="27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 ht="14.25" customHeight="1" s="27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 ht="14.25" customHeight="1" s="27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 ht="14.25" customHeight="1" s="27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 ht="14.25" customHeight="1" s="27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 ht="14.25" customHeight="1" s="27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 ht="14.25" customHeight="1" s="27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 ht="14.25" customHeight="1" s="27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 ht="14.25" customHeight="1" s="27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 ht="14.25" customHeight="1" s="27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 ht="14.25" customHeight="1" s="27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 ht="14.25" customHeight="1" s="27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 ht="14.25" customHeight="1" s="27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 ht="14.25" customHeight="1" s="27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 ht="14.25" customHeight="1" s="27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 ht="14.25" customHeight="1" s="27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 ht="14.25" customHeight="1" s="27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 ht="14.25" customHeight="1" s="27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 ht="14.25" customHeight="1" s="27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 ht="14.25" customHeight="1" s="27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 ht="14.25" customHeight="1" s="27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 ht="14.25" customHeight="1" s="27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 ht="14.25" customHeight="1" s="27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 ht="14.25" customHeight="1" s="27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 ht="14.25" customHeight="1" s="27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 ht="14.25" customHeight="1" s="27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 ht="14.25" customHeight="1" s="27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 ht="14.25" customHeight="1" s="27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 ht="14.25" customHeight="1" s="27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 ht="14.25" customHeight="1" s="27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 ht="14.25" customHeight="1" s="27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 ht="14.25" customHeight="1" s="27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 ht="14.25" customHeight="1" s="27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 ht="14.25" customHeight="1" s="27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 ht="14.25" customHeight="1" s="27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 ht="14.25" customHeight="1" s="27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 ht="14.25" customHeight="1" s="27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 ht="14.25" customHeight="1" s="27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 ht="14.25" customHeight="1" s="27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 ht="14.25" customHeight="1" s="27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 ht="14.25" customHeight="1" s="27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 ht="14.25" customHeight="1" s="27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 ht="14.25" customHeight="1" s="27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 ht="14.25" customHeight="1" s="27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 ht="14.25" customHeight="1" s="27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 ht="14.25" customHeight="1" s="27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 ht="14.25" customHeight="1" s="27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 ht="14.25" customHeight="1" s="27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 ht="14.25" customHeight="1" s="27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 ht="14.25" customHeight="1" s="27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 ht="14.25" customHeight="1" s="27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 ht="14.25" customHeight="1" s="27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 ht="14.25" customHeight="1" s="27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 ht="14.25" customHeight="1" s="27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 ht="14.25" customHeight="1" s="27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 ht="14.25" customHeight="1" s="27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 ht="14.25" customHeight="1" s="27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 ht="14.25" customHeight="1" s="27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 ht="14.25" customHeight="1" s="27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 ht="14.25" customHeight="1" s="27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 ht="14.25" customHeight="1" s="27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 ht="14.25" customHeight="1" s="27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 ht="14.25" customHeight="1" s="27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 ht="14.25" customHeight="1" s="27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 ht="14.25" customHeight="1" s="27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 ht="14.25" customHeight="1" s="27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 ht="14.25" customHeight="1" s="27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 ht="14.25" customHeight="1" s="27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 ht="14.25" customHeight="1" s="27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 ht="14.25" customHeight="1" s="27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 ht="14.25" customHeight="1" s="27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 ht="14.25" customHeight="1" s="27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 ht="14.25" customHeight="1" s="27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 ht="14.25" customHeight="1" s="27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 ht="14.25" customHeight="1" s="27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 ht="14.25" customHeight="1" s="27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 ht="14.25" customHeight="1" s="27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 ht="14.25" customHeight="1" s="27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 ht="14.25" customHeight="1" s="27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 ht="14.25" customHeight="1" s="27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 ht="14.25" customHeight="1" s="27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 ht="14.25" customHeight="1" s="27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 ht="14.25" customHeight="1" s="27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 ht="14.25" customHeight="1" s="27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 ht="14.25" customHeight="1" s="27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 ht="14.25" customHeight="1" s="27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 ht="14.25" customHeight="1" s="27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 ht="14.25" customHeight="1" s="27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 ht="14.25" customHeight="1" s="27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 ht="14.25" customHeight="1" s="27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 ht="14.25" customHeight="1" s="27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 ht="14.25" customHeight="1" s="27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 ht="14.25" customHeight="1" s="27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 ht="14.25" customHeight="1" s="27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 ht="14.25" customHeight="1" s="27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 ht="14.25" customHeight="1" s="27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 ht="14.25" customHeight="1" s="27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 ht="14.25" customHeight="1" s="27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 ht="14.25" customHeight="1" s="27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 ht="14.25" customHeight="1" s="27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 ht="14.25" customHeight="1" s="27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 ht="14.25" customHeight="1" s="27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 ht="14.25" customHeight="1" s="27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 ht="14.25" customHeight="1" s="27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 ht="14.25" customHeight="1" s="27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 ht="14.25" customHeight="1" s="27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 ht="14.25" customHeight="1" s="27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 ht="14.25" customHeight="1" s="27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 ht="14.25" customHeight="1" s="27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 ht="14.25" customHeight="1" s="27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 ht="14.25" customHeight="1" s="27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 ht="14.25" customHeight="1" s="27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 ht="14.25" customHeight="1" s="27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 ht="14.25" customHeight="1" s="27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 ht="14.25" customHeight="1" s="27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 ht="14.25" customHeight="1" s="27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 ht="14.25" customHeight="1" s="27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 ht="14.25" customHeight="1" s="27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 ht="14.25" customHeight="1" s="27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 ht="14.25" customHeight="1" s="27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 ht="14.25" customHeight="1" s="27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 ht="14.25" customHeight="1" s="27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 ht="14.25" customHeight="1" s="27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 ht="14.25" customHeight="1" s="27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 ht="14.25" customHeight="1" s="27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 ht="14.25" customHeight="1" s="27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 ht="14.25" customHeight="1" s="27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 ht="14.25" customHeight="1" s="27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 ht="14.25" customHeight="1" s="27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 ht="14.25" customHeight="1" s="27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 ht="14.25" customHeight="1" s="27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 ht="14.25" customHeight="1" s="27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 ht="14.25" customHeight="1" s="27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 ht="14.25" customHeight="1" s="27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 ht="14.25" customHeight="1" s="27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 ht="14.25" customHeight="1" s="27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 ht="14.25" customHeight="1" s="27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 ht="14.25" customHeight="1" s="27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 ht="14.25" customHeight="1" s="27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 ht="14.25" customHeight="1" s="27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 ht="14.25" customHeight="1" s="27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 ht="14.25" customHeight="1" s="27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 ht="14.25" customHeight="1" s="27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 ht="14.25" customHeight="1" s="27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 ht="14.25" customHeight="1" s="27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 ht="14.25" customHeight="1" s="27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 ht="14.25" customHeight="1" s="27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 ht="14.25" customHeight="1" s="27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 ht="14.25" customHeight="1" s="27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 ht="14.25" customHeight="1" s="27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 ht="14.25" customHeight="1" s="27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 ht="14.25" customHeight="1" s="27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 ht="14.25" customHeight="1" s="27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 ht="14.25" customHeight="1" s="27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 ht="14.25" customHeight="1" s="27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 ht="14.25" customHeight="1" s="27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 ht="14.25" customHeight="1" s="27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 ht="14.25" customHeight="1" s="27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 ht="14.25" customHeight="1" s="27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 ht="14.25" customHeight="1" s="27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 ht="14.25" customHeight="1" s="27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 ht="14.25" customHeight="1" s="27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 ht="14.25" customHeight="1" s="27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 ht="14.25" customHeight="1" s="27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 ht="14.25" customHeight="1" s="27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 ht="14.25" customHeight="1" s="27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 ht="14.25" customHeight="1" s="27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 ht="14.25" customHeight="1" s="27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 ht="14.25" customHeight="1" s="27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 ht="14.25" customHeight="1" s="27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 ht="14.25" customHeight="1" s="27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 ht="14.25" customHeight="1" s="27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 ht="14.25" customHeight="1" s="27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 ht="14.25" customHeight="1" s="27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 ht="14.25" customHeight="1" s="27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 ht="14.25" customHeight="1" s="27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 ht="14.25" customHeight="1" s="27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 ht="14.25" customHeight="1" s="27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 ht="14.25" customHeight="1" s="27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 ht="14.25" customHeight="1" s="27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 ht="14.25" customHeight="1" s="27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 ht="14.25" customHeight="1" s="27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 ht="14.25" customHeight="1" s="27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 ht="14.25" customHeight="1" s="27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 ht="14.25" customHeight="1" s="27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 ht="14.25" customHeight="1" s="27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 ht="14.25" customHeight="1" s="27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 ht="14.25" customHeight="1" s="27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 ht="14.25" customHeight="1" s="27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 ht="14.25" customHeight="1" s="27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 ht="14.25" customHeight="1" s="27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 ht="14.25" customHeight="1" s="27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 ht="14.25" customHeight="1" s="27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 ht="14.25" customHeight="1" s="27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 ht="14.25" customHeight="1" s="27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 ht="14.25" customHeight="1" s="27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 ht="14.25" customHeight="1" s="27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 ht="14.25" customHeight="1" s="27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 ht="14.25" customHeight="1" s="27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 ht="14.25" customHeight="1" s="27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 ht="14.25" customHeight="1" s="27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 ht="14.25" customHeight="1" s="27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 ht="14.25" customHeight="1" s="27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 ht="14.25" customHeight="1" s="27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 ht="14.25" customHeight="1" s="27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 ht="14.25" customHeight="1" s="27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 ht="14.25" customHeight="1" s="27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 ht="14.25" customHeight="1" s="27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 ht="14.25" customHeight="1" s="27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 ht="14.25" customHeight="1" s="27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 ht="14.25" customHeight="1" s="27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 ht="14.25" customHeight="1" s="27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 ht="14.25" customHeight="1" s="27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 ht="14.25" customHeight="1" s="27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 ht="14.25" customHeight="1" s="27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 ht="14.25" customHeight="1" s="27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 ht="14.25" customHeight="1" s="27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 ht="14.25" customHeight="1" s="27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 ht="14.25" customHeight="1" s="27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 ht="14.25" customHeight="1" s="27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 ht="14.25" customHeight="1" s="27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 ht="14.25" customHeight="1" s="27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 ht="14.25" customHeight="1" s="27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 ht="14.25" customHeight="1" s="27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 ht="14.25" customHeight="1" s="27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 ht="14.25" customHeight="1" s="27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 ht="14.25" customHeight="1" s="27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 ht="14.25" customHeight="1" s="27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 ht="14.25" customHeight="1" s="27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 ht="14.25" customHeight="1" s="27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 ht="14.25" customHeight="1" s="27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 ht="14.25" customHeight="1" s="27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 ht="14.25" customHeight="1" s="27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 ht="14.25" customHeight="1" s="27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 ht="14.25" customHeight="1" s="27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 ht="14.25" customHeight="1" s="27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 ht="14.25" customHeight="1" s="27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 ht="14.25" customHeight="1" s="27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 ht="14.25" customHeight="1" s="27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 ht="14.25" customHeight="1" s="27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 ht="14.25" customHeight="1" s="27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 ht="14.25" customHeight="1" s="27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 ht="14.25" customHeight="1" s="27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 ht="14.25" customHeight="1" s="27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 ht="14.25" customHeight="1" s="27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 ht="14.25" customHeight="1" s="27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 ht="14.25" customHeight="1" s="27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 ht="14.25" customHeight="1" s="27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 ht="14.25" customHeight="1" s="27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 ht="14.25" customHeight="1" s="27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 ht="14.25" customHeight="1" s="27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 ht="14.25" customHeight="1" s="27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 ht="14.25" customHeight="1" s="27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 ht="14.25" customHeight="1" s="27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 ht="14.25" customHeight="1" s="27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 ht="14.25" customHeight="1" s="27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 ht="14.25" customHeight="1" s="27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 ht="14.25" customHeight="1" s="27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 ht="14.25" customHeight="1" s="27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 ht="14.25" customHeight="1" s="27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 ht="14.25" customHeight="1" s="27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 ht="14.25" customHeight="1" s="27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 ht="14.25" customHeight="1" s="27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 ht="14.25" customHeight="1" s="27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 ht="14.25" customHeight="1" s="27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 ht="14.25" customHeight="1" s="27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 ht="14.25" customHeight="1" s="27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 ht="14.25" customHeight="1" s="27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 ht="14.25" customHeight="1" s="27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 ht="14.25" customHeight="1" s="27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 ht="14.25" customHeight="1" s="27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 ht="14.25" customHeight="1" s="27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 ht="14.25" customHeight="1" s="27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 ht="14.25" customHeight="1" s="27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 ht="14.25" customHeight="1" s="27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 ht="14.25" customHeight="1" s="27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 ht="14.25" customHeight="1" s="27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 ht="14.25" customHeight="1" s="27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 ht="14.25" customHeight="1" s="27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 ht="14.25" customHeight="1" s="27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 ht="14.25" customHeight="1" s="27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 ht="14.25" customHeight="1" s="27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 ht="14.25" customHeight="1" s="27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 ht="14.25" customHeight="1" s="27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 ht="14.25" customHeight="1" s="27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 ht="14.25" customHeight="1" s="27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 ht="14.25" customHeight="1" s="27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 ht="14.25" customHeight="1" s="27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 ht="14.25" customHeight="1" s="27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 ht="14.25" customHeight="1" s="27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 ht="14.25" customHeight="1" s="27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 ht="14.25" customHeight="1" s="27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 ht="14.25" customHeight="1" s="27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 ht="14.25" customHeight="1" s="27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 ht="14.25" customHeight="1" s="27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 ht="14.25" customHeight="1" s="27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 ht="14.25" customHeight="1" s="27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 ht="14.25" customHeight="1" s="27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 ht="14.25" customHeight="1" s="27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 ht="14.25" customHeight="1" s="27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 ht="14.25" customHeight="1" s="27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 ht="14.25" customHeight="1" s="27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 ht="14.25" customHeight="1" s="27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 ht="14.25" customHeight="1" s="27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 ht="14.25" customHeight="1" s="27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 ht="14.25" customHeight="1" s="27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 ht="14.25" customHeight="1" s="27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 ht="14.25" customHeight="1" s="27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 ht="14.25" customHeight="1" s="27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 ht="14.25" customHeight="1" s="27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 ht="14.25" customHeight="1" s="27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 ht="14.25" customHeight="1" s="27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 ht="14.25" customHeight="1" s="27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 ht="14.25" customHeight="1" s="27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 ht="14.25" customHeight="1" s="27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 ht="14.25" customHeight="1" s="27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 ht="14.25" customHeight="1" s="27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 ht="14.25" customHeight="1" s="27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 ht="14.25" customHeight="1" s="27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 ht="14.25" customHeight="1" s="27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 ht="14.25" customHeight="1" s="27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 ht="14.25" customHeight="1" s="27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 ht="14.25" customHeight="1" s="27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 ht="14.25" customHeight="1" s="27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 ht="14.25" customHeight="1" s="27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 ht="14.25" customHeight="1" s="27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 ht="14.25" customHeight="1" s="27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 ht="14.25" customHeight="1" s="27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 ht="14.25" customHeight="1" s="27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 ht="14.25" customHeight="1" s="27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 ht="14.25" customHeight="1" s="27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 ht="14.25" customHeight="1" s="27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 ht="14.25" customHeight="1" s="27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 ht="14.25" customHeight="1" s="27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 ht="14.25" customHeight="1" s="27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 ht="14.25" customHeight="1" s="27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 ht="14.25" customHeight="1" s="27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 ht="14.25" customHeight="1" s="27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 ht="14.25" customHeight="1" s="27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 ht="14.25" customHeight="1" s="27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 ht="14.25" customHeight="1" s="27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 ht="14.25" customHeight="1" s="27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 ht="14.25" customHeight="1" s="27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 ht="14.25" customHeight="1" s="27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 ht="14.25" customHeight="1" s="27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 ht="14.25" customHeight="1" s="27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 ht="14.25" customHeight="1" s="27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 ht="14.25" customHeight="1" s="27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 ht="14.25" customHeight="1" s="27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 ht="14.25" customHeight="1" s="27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 ht="14.25" customHeight="1" s="27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 ht="14.25" customHeight="1" s="27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 ht="14.25" customHeight="1" s="27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 ht="14.25" customHeight="1" s="27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 ht="14.25" customHeight="1" s="27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 ht="14.25" customHeight="1" s="27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 ht="14.25" customHeight="1" s="27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 ht="14.25" customHeight="1" s="27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 ht="14.25" customHeight="1" s="27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 ht="14.25" customHeight="1" s="27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 ht="14.25" customHeight="1" s="27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 ht="14.25" customHeight="1" s="27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 ht="14.25" customHeight="1" s="27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 ht="14.25" customHeight="1" s="27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 ht="14.25" customHeight="1" s="27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 ht="14.25" customHeight="1" s="27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 ht="14.25" customHeight="1" s="27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 ht="14.25" customHeight="1" s="27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 ht="14.25" customHeight="1" s="27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 ht="14.25" customHeight="1" s="27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 ht="14.25" customHeight="1" s="27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 ht="14.25" customHeight="1" s="27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 ht="14.25" customHeight="1" s="27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 ht="14.25" customHeight="1" s="27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 ht="14.25" customHeight="1" s="27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 ht="14.25" customHeight="1" s="27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 ht="14.25" customHeight="1" s="27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 ht="14.25" customHeight="1" s="27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 ht="14.25" customHeight="1" s="27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 ht="14.25" customHeight="1" s="27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 ht="14.25" customHeight="1" s="27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 ht="14.25" customHeight="1" s="27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 ht="14.25" customHeight="1" s="27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 ht="14.25" customHeight="1" s="27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 ht="14.25" customHeight="1" s="27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 ht="14.25" customHeight="1" s="27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 ht="14.25" customHeight="1" s="27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 ht="14.25" customHeight="1" s="27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 ht="14.25" customHeight="1" s="27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 ht="14.25" customHeight="1" s="27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 ht="14.25" customHeight="1" s="27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 ht="14.25" customHeight="1" s="27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 ht="14.25" customHeight="1" s="27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 ht="14.25" customHeight="1" s="27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 ht="14.25" customHeight="1" s="27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 ht="14.25" customHeight="1" s="27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 ht="14.25" customHeight="1" s="27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 ht="14.25" customHeight="1" s="27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 ht="14.25" customHeight="1" s="27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 ht="14.25" customHeight="1" s="27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 ht="14.25" customHeight="1" s="27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 ht="14.25" customHeight="1" s="27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 ht="14.25" customHeight="1" s="27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 ht="14.25" customHeight="1" s="27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 ht="14.25" customHeight="1" s="27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 ht="14.25" customHeight="1" s="27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 ht="14.25" customHeight="1" s="27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 ht="14.25" customHeight="1" s="27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 ht="14.25" customHeight="1" s="27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 ht="14.25" customHeight="1" s="27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 ht="14.25" customHeight="1" s="27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 ht="14.25" customHeight="1" s="27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 ht="14.25" customHeight="1" s="27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 ht="14.25" customHeight="1" s="27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 ht="14.25" customHeight="1" s="27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 ht="14.25" customHeight="1" s="27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 ht="14.25" customHeight="1" s="27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 ht="14.25" customHeight="1" s="27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 ht="14.25" customHeight="1" s="27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 ht="14.25" customHeight="1" s="27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 ht="14.25" customHeight="1" s="27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 ht="14.25" customHeight="1" s="27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 ht="14.25" customHeight="1" s="27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 ht="14.25" customHeight="1" s="27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 ht="14.25" customHeight="1" s="27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 ht="14.25" customHeight="1" s="27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 ht="14.25" customHeight="1" s="27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 ht="14.25" customHeight="1" s="27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 ht="14.25" customHeight="1" s="27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 ht="14.25" customHeight="1" s="27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 ht="14.25" customHeight="1" s="27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 ht="14.25" customHeight="1" s="27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 ht="14.25" customHeight="1" s="27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 ht="14.25" customHeight="1" s="27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 ht="14.25" customHeight="1" s="27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 ht="14.25" customHeight="1" s="27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 ht="14.25" customHeight="1" s="27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 ht="14.25" customHeight="1" s="27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 ht="14.25" customHeight="1" s="27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 ht="14.25" customHeight="1" s="27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 ht="14.25" customHeight="1" s="27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 ht="14.25" customHeight="1" s="27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 ht="14.25" customHeight="1" s="27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 ht="14.25" customHeight="1" s="27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 ht="14.25" customHeight="1" s="27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 ht="14.25" customHeight="1" s="27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 ht="14.25" customHeight="1" s="27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 ht="14.25" customHeight="1" s="27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 ht="14.25" customHeight="1" s="27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 ht="14.25" customHeight="1" s="27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 ht="14.25" customHeight="1" s="27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 ht="14.25" customHeight="1" s="27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 ht="14.25" customHeight="1" s="27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 ht="14.25" customHeight="1" s="27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V1000" s="13" t="n"/>
      <c r="W1000" s="13" t="n"/>
      <c r="X1000" s="13" t="n"/>
      <c r="Y1000" s="13" t="n"/>
      <c r="Z1000" s="13" t="n"/>
    </row>
  </sheetData>
  <mergeCells count="1">
    <mergeCell ref="S3:U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B28" sqref="B28"/>
    </sheetView>
  </sheetViews>
  <sheetFormatPr baseColWidth="8" defaultRowHeight="15"/>
  <cols>
    <col width="67.28515625" customWidth="1" style="27" min="1" max="1"/>
    <col width="31.42578125" customWidth="1" style="27" min="2" max="2"/>
    <col width="12.85546875" customWidth="1" style="27" min="4" max="4"/>
    <col width="9.5703125" customWidth="1" style="27" min="5" max="5"/>
    <col width="9.28515625" customWidth="1" style="27" min="6" max="6"/>
    <col width="6.7109375" customWidth="1" style="27" min="7" max="7"/>
    <col width="14" customWidth="1" style="27" min="8" max="8"/>
    <col width="16.5703125" customWidth="1" style="27" min="9" max="9"/>
    <col width="11" customWidth="1" style="27" min="10" max="10"/>
  </cols>
  <sheetData>
    <row r="1">
      <c r="D1" s="18" t="inlineStr">
        <is>
          <t>Sales-Order-ID</t>
        </is>
      </c>
      <c r="E1" s="18" t="inlineStr">
        <is>
          <t>Sales Date</t>
        </is>
      </c>
      <c r="F1" s="18" t="inlineStr">
        <is>
          <t>Location</t>
        </is>
      </c>
      <c r="G1" s="18" t="inlineStr">
        <is>
          <t>Item</t>
        </is>
      </c>
      <c r="H1" s="18" t="inlineStr">
        <is>
          <t>Company Name</t>
        </is>
      </c>
      <c r="I1" s="18" t="inlineStr">
        <is>
          <t>Total Sales Amount</t>
        </is>
      </c>
      <c r="J1" s="18" t="inlineStr">
        <is>
          <t>Commission</t>
        </is>
      </c>
    </row>
    <row r="2">
      <c r="D2" s="19" t="inlineStr">
        <is>
          <t>D-L-6094</t>
        </is>
      </c>
      <c r="E2" s="24" t="n">
        <v>44622</v>
      </c>
      <c r="F2" s="19" t="inlineStr">
        <is>
          <t>Delhi</t>
        </is>
      </c>
      <c r="G2" s="19" t="inlineStr">
        <is>
          <t>Laptop</t>
        </is>
      </c>
      <c r="H2" s="19" t="inlineStr">
        <is>
          <t>Apple</t>
        </is>
      </c>
      <c r="I2" s="19" t="n">
        <v>263293</v>
      </c>
      <c r="J2" s="20" t="n">
        <v>10531.72</v>
      </c>
    </row>
    <row r="3">
      <c r="A3" s="19" t="inlineStr">
        <is>
          <t>Find The Total Sales Amount</t>
        </is>
      </c>
      <c r="B3" s="36">
        <f>SUM(I2:I119)</f>
        <v/>
      </c>
      <c r="D3" s="19" t="inlineStr">
        <is>
          <t>M-T-7498</t>
        </is>
      </c>
      <c r="E3" s="24" t="n">
        <v>44375</v>
      </c>
      <c r="F3" s="19" t="inlineStr">
        <is>
          <t>Mumbai</t>
        </is>
      </c>
      <c r="G3" s="19" t="inlineStr">
        <is>
          <t>Tablet</t>
        </is>
      </c>
      <c r="H3" s="19" t="inlineStr">
        <is>
          <t>Samsung</t>
        </is>
      </c>
      <c r="I3" s="19" t="n">
        <v>186073</v>
      </c>
      <c r="J3" s="20" t="n">
        <v>5582.19</v>
      </c>
    </row>
    <row r="4">
      <c r="A4" s="19" t="inlineStr">
        <is>
          <t>Sum The Total Sales Amount If Amount Is Greater Than 5,00,000</t>
        </is>
      </c>
      <c r="B4" s="36">
        <f>SUMIF(I2:I119,"&gt;500000",I2:I119)</f>
        <v/>
      </c>
      <c r="D4" s="19" t="inlineStr">
        <is>
          <t>M-L-6885</t>
        </is>
      </c>
      <c r="E4" s="24" t="n">
        <v>44454</v>
      </c>
      <c r="F4" s="19" t="inlineStr">
        <is>
          <t>Mumbai</t>
        </is>
      </c>
      <c r="G4" s="19" t="inlineStr">
        <is>
          <t>Laptop</t>
        </is>
      </c>
      <c r="H4" s="19" t="inlineStr">
        <is>
          <t>Apple</t>
        </is>
      </c>
      <c r="I4" s="19" t="n">
        <v>359374</v>
      </c>
      <c r="J4" s="20" t="n">
        <v>17968.7</v>
      </c>
    </row>
    <row r="5">
      <c r="A5" s="19" t="inlineStr">
        <is>
          <t>Sum The Total Sales Amount For Laptop</t>
        </is>
      </c>
      <c r="B5" s="36">
        <f>SUMIF(G2:G119,"Laptop",I2:I119)</f>
        <v/>
      </c>
      <c r="D5" s="19" t="inlineStr">
        <is>
          <t>D-T-1879</t>
        </is>
      </c>
      <c r="E5" s="24" t="n">
        <v>44495</v>
      </c>
      <c r="F5" s="19" t="inlineStr">
        <is>
          <t>Delhi</t>
        </is>
      </c>
      <c r="G5" s="19" t="inlineStr">
        <is>
          <t>Tablet</t>
        </is>
      </c>
      <c r="H5" s="19" t="inlineStr">
        <is>
          <t>Samsung</t>
        </is>
      </c>
      <c r="I5" s="19" t="n">
        <v>160847</v>
      </c>
      <c r="J5" s="20" t="n">
        <v>4825.41</v>
      </c>
    </row>
    <row r="6">
      <c r="A6" s="19" t="inlineStr">
        <is>
          <t>Count For The Item Laptop</t>
        </is>
      </c>
      <c r="B6" s="20">
        <f>COUNTIF(G2:G119,"Laptop")</f>
        <v/>
      </c>
      <c r="D6" s="19" t="inlineStr">
        <is>
          <t>M-M-2615</t>
        </is>
      </c>
      <c r="E6" s="24" t="n">
        <v>44482</v>
      </c>
      <c r="F6" s="19" t="inlineStr">
        <is>
          <t>Mumbai</t>
        </is>
      </c>
      <c r="G6" s="19" t="inlineStr">
        <is>
          <t>Mobile</t>
        </is>
      </c>
      <c r="H6" s="19" t="inlineStr">
        <is>
          <t>Apple</t>
        </is>
      </c>
      <c r="I6" s="19" t="n">
        <v>166116</v>
      </c>
      <c r="J6" s="20" t="n">
        <v>4983.48</v>
      </c>
    </row>
    <row r="7">
      <c r="A7" s="19" t="inlineStr">
        <is>
          <t>Sum Of Total Sales Amount For Laptop Of  Apple</t>
        </is>
      </c>
      <c r="B7" s="36">
        <f>SUMIFS(I2:I119,G2:G119,"Laptop",H2:H119,"Apple")</f>
        <v/>
      </c>
      <c r="D7" s="19" t="inlineStr">
        <is>
          <t>M-L-9627</t>
        </is>
      </c>
      <c r="E7" s="24" t="n">
        <v>44400</v>
      </c>
      <c r="F7" s="19" t="inlineStr">
        <is>
          <t>Mumbai</t>
        </is>
      </c>
      <c r="G7" s="19" t="inlineStr">
        <is>
          <t>Laptop</t>
        </is>
      </c>
      <c r="H7" s="19" t="inlineStr">
        <is>
          <t>HP</t>
        </is>
      </c>
      <c r="I7" s="19" t="n">
        <v>216602</v>
      </c>
      <c r="J7" s="20" t="n">
        <v>8664.08</v>
      </c>
    </row>
    <row r="8">
      <c r="A8" s="19" t="inlineStr">
        <is>
          <t>Count The Total Laptop Sold By The Company Apple</t>
        </is>
      </c>
      <c r="B8" s="20">
        <f>COUNTIFS(G2:G119,"Laptop",H2:H119,"Apple")</f>
        <v/>
      </c>
      <c r="D8" s="19" t="inlineStr">
        <is>
          <t>D-M-8631</t>
        </is>
      </c>
      <c r="E8" s="24" t="n">
        <v>44448</v>
      </c>
      <c r="F8" s="19" t="inlineStr">
        <is>
          <t>Delhi</t>
        </is>
      </c>
      <c r="G8" s="19" t="inlineStr">
        <is>
          <t>Mobile</t>
        </is>
      </c>
      <c r="H8" s="19" t="inlineStr">
        <is>
          <t>Apple</t>
        </is>
      </c>
      <c r="I8" s="19" t="n">
        <v>239749</v>
      </c>
      <c r="J8" s="20" t="n">
        <v>9589.960000000001</v>
      </c>
    </row>
    <row r="9">
      <c r="A9" s="19" t="inlineStr">
        <is>
          <t>Find The Minimum Commission Paid</t>
        </is>
      </c>
      <c r="B9" s="36">
        <f>MIN(J2:J119)</f>
        <v/>
      </c>
      <c r="D9" s="19" t="inlineStr">
        <is>
          <t>M-L-5608</t>
        </is>
      </c>
      <c r="E9" s="24" t="n">
        <v>44381</v>
      </c>
      <c r="F9" s="19" t="inlineStr">
        <is>
          <t>Mumbai</t>
        </is>
      </c>
      <c r="G9" s="19" t="inlineStr">
        <is>
          <t>Laptop</t>
        </is>
      </c>
      <c r="H9" s="19" t="inlineStr">
        <is>
          <t>Apple</t>
        </is>
      </c>
      <c r="I9" s="19" t="n">
        <v>269164</v>
      </c>
      <c r="J9" s="20" t="n">
        <v>10766.56</v>
      </c>
    </row>
    <row r="10">
      <c r="A10" s="19" t="inlineStr">
        <is>
          <t>Find The Maximum Commission Paid</t>
        </is>
      </c>
      <c r="B10" s="36">
        <f>MAX(J2:J119)</f>
        <v/>
      </c>
      <c r="D10" s="19" t="inlineStr">
        <is>
          <t>B-L-4951</t>
        </is>
      </c>
      <c r="E10" s="24" t="n">
        <v>44529</v>
      </c>
      <c r="F10" s="19" t="inlineStr">
        <is>
          <t>Bangalore</t>
        </is>
      </c>
      <c r="G10" s="19" t="inlineStr">
        <is>
          <t>Laptop</t>
        </is>
      </c>
      <c r="H10" s="19" t="inlineStr">
        <is>
          <t>Samsung</t>
        </is>
      </c>
      <c r="I10" s="19" t="n">
        <v>189574</v>
      </c>
      <c r="J10" s="20" t="n">
        <v>5687.219999999999</v>
      </c>
    </row>
    <row r="11">
      <c r="A11" s="19" t="inlineStr">
        <is>
          <t>Find The Average Of The Commission Paid</t>
        </is>
      </c>
      <c r="B11" s="36">
        <f>AVERAGE(J2:J119)</f>
        <v/>
      </c>
      <c r="D11" s="19" t="inlineStr">
        <is>
          <t>M-T-7800</t>
        </is>
      </c>
      <c r="E11" s="24" t="n">
        <v>44542</v>
      </c>
      <c r="F11" s="19" t="inlineStr">
        <is>
          <t>Mumbai</t>
        </is>
      </c>
      <c r="G11" s="19" t="inlineStr">
        <is>
          <t>Tablet</t>
        </is>
      </c>
      <c r="H11" s="19" t="inlineStr">
        <is>
          <t>HP</t>
        </is>
      </c>
      <c r="I11" s="19" t="n">
        <v>259237</v>
      </c>
      <c r="J11" s="20" t="n">
        <v>10369.48</v>
      </c>
    </row>
    <row r="12">
      <c r="A12" s="19" t="inlineStr">
        <is>
          <t xml:space="preserve">Find The Average Of Commission Amount For Laptop </t>
        </is>
      </c>
      <c r="B12" s="36">
        <f>AVERAGEIF(G2:G119,"Laptop",J2:J119)</f>
        <v/>
      </c>
      <c r="D12" s="19" t="inlineStr">
        <is>
          <t>D-T-9017</t>
        </is>
      </c>
      <c r="E12" s="24" t="n">
        <v>44335</v>
      </c>
      <c r="F12" s="19" t="inlineStr">
        <is>
          <t>Delhi</t>
        </is>
      </c>
      <c r="G12" s="19" t="inlineStr">
        <is>
          <t>Tablet</t>
        </is>
      </c>
      <c r="H12" s="19" t="inlineStr">
        <is>
          <t>HP</t>
        </is>
      </c>
      <c r="I12" s="19" t="n">
        <v>157481</v>
      </c>
      <c r="J12" s="20" t="n">
        <v>4724.429999999999</v>
      </c>
    </row>
    <row r="13">
      <c r="A13" s="19" t="inlineStr">
        <is>
          <t>Find The Average Of Commission Amount For Laptop Of Apple Company</t>
        </is>
      </c>
      <c r="B13" s="36">
        <f>AVERAGEIFS(J2:J119,G2:G119,"Laptop",H2:H119,"Apple")</f>
        <v/>
      </c>
      <c r="D13" s="19" t="inlineStr">
        <is>
          <t>M-T-5773</t>
        </is>
      </c>
      <c r="E13" s="24" t="n">
        <v>44379</v>
      </c>
      <c r="F13" s="19" t="inlineStr">
        <is>
          <t>Mumbai</t>
        </is>
      </c>
      <c r="G13" s="19" t="inlineStr">
        <is>
          <t>Tablet</t>
        </is>
      </c>
      <c r="H13" s="19" t="inlineStr">
        <is>
          <t>Samsung</t>
        </is>
      </c>
      <c r="I13" s="19" t="n">
        <v>297769</v>
      </c>
      <c r="J13" s="20" t="n">
        <v>11910.76</v>
      </c>
    </row>
    <row r="14">
      <c r="A14" s="19" t="n"/>
      <c r="B14" s="37" t="n"/>
      <c r="D14" s="19" t="inlineStr">
        <is>
          <t>D-M-7776</t>
        </is>
      </c>
      <c r="E14" s="24" t="n">
        <v>44334</v>
      </c>
      <c r="F14" s="19" t="inlineStr">
        <is>
          <t>Delhi</t>
        </is>
      </c>
      <c r="G14" s="19" t="inlineStr">
        <is>
          <t>Mobile</t>
        </is>
      </c>
      <c r="H14" s="19" t="inlineStr">
        <is>
          <t>Apple</t>
        </is>
      </c>
      <c r="I14" s="19" t="n">
        <v>197482</v>
      </c>
      <c r="J14" s="20" t="n">
        <v>5924.46</v>
      </c>
    </row>
    <row r="15">
      <c r="A15" s="21" t="n"/>
      <c r="B15" s="21" t="n"/>
      <c r="D15" s="19" t="inlineStr">
        <is>
          <t>D-L-7931</t>
        </is>
      </c>
      <c r="E15" s="24" t="n">
        <v>44294</v>
      </c>
      <c r="F15" s="19" t="inlineStr">
        <is>
          <t>Delhi</t>
        </is>
      </c>
      <c r="G15" s="19" t="inlineStr">
        <is>
          <t>Laptop</t>
        </is>
      </c>
      <c r="H15" s="19" t="inlineStr">
        <is>
          <t>HP</t>
        </is>
      </c>
      <c r="I15" s="19" t="n">
        <v>273542</v>
      </c>
      <c r="J15" s="20" t="n">
        <v>10941.68</v>
      </c>
    </row>
    <row r="16">
      <c r="A16" s="23" t="inlineStr">
        <is>
          <t>Location</t>
        </is>
      </c>
      <c r="B16" s="19" t="inlineStr">
        <is>
          <t>Delhi</t>
        </is>
      </c>
      <c r="D16" s="19" t="inlineStr">
        <is>
          <t>B-M-2408</t>
        </is>
      </c>
      <c r="E16" s="24" t="n">
        <v>44537</v>
      </c>
      <c r="F16" s="19" t="inlineStr">
        <is>
          <t>Bangalore</t>
        </is>
      </c>
      <c r="G16" s="19" t="inlineStr">
        <is>
          <t>Mobile</t>
        </is>
      </c>
      <c r="H16" s="19" t="inlineStr">
        <is>
          <t>Apple</t>
        </is>
      </c>
      <c r="I16" s="19" t="n">
        <v>255290</v>
      </c>
      <c r="J16" s="20" t="n">
        <v>10211.6</v>
      </c>
    </row>
    <row r="17">
      <c r="A17" s="23" t="inlineStr">
        <is>
          <t>Item</t>
        </is>
      </c>
      <c r="B17" s="19" t="inlineStr">
        <is>
          <t>Tablet</t>
        </is>
      </c>
      <c r="D17" s="19" t="inlineStr">
        <is>
          <t>B-M-6386</t>
        </is>
      </c>
      <c r="E17" s="24" t="n">
        <v>44463</v>
      </c>
      <c r="F17" s="19" t="inlineStr">
        <is>
          <t>Bangalore</t>
        </is>
      </c>
      <c r="G17" s="19" t="inlineStr">
        <is>
          <t>Mobile</t>
        </is>
      </c>
      <c r="H17" s="19" t="inlineStr">
        <is>
          <t>Apple</t>
        </is>
      </c>
      <c r="I17" s="19" t="n">
        <v>342143</v>
      </c>
      <c r="J17" s="20" t="n">
        <v>17107.15</v>
      </c>
    </row>
    <row r="18">
      <c r="A18" s="23" t="inlineStr">
        <is>
          <t>Company Name</t>
        </is>
      </c>
      <c r="B18" s="19" t="inlineStr">
        <is>
          <t>HP</t>
        </is>
      </c>
      <c r="D18" s="19" t="inlineStr">
        <is>
          <t>B-M-9235</t>
        </is>
      </c>
      <c r="E18" s="24" t="n">
        <v>44408</v>
      </c>
      <c r="F18" s="19" t="inlineStr">
        <is>
          <t>Bangalore</t>
        </is>
      </c>
      <c r="G18" s="19" t="inlineStr">
        <is>
          <t>Mobile</t>
        </is>
      </c>
      <c r="H18" s="19" t="inlineStr">
        <is>
          <t>Apple</t>
        </is>
      </c>
      <c r="I18" s="19" t="n">
        <v>177269</v>
      </c>
      <c r="J18" s="20" t="n">
        <v>5318.07</v>
      </c>
    </row>
    <row r="19">
      <c r="A19" s="18" t="inlineStr">
        <is>
          <t>Total Sales Amount</t>
        </is>
      </c>
      <c r="B19" s="36">
        <f>SUMIFS(I2:I119,F2:F119,B16,G2:G119,B17,H2:H119,B18)</f>
        <v/>
      </c>
      <c r="D19" s="19" t="inlineStr">
        <is>
          <t>B-L-9173</t>
        </is>
      </c>
      <c r="E19" s="24" t="n">
        <v>44371</v>
      </c>
      <c r="F19" s="19" t="inlineStr">
        <is>
          <t>Bangalore</t>
        </is>
      </c>
      <c r="G19" s="19" t="inlineStr">
        <is>
          <t>Laptop</t>
        </is>
      </c>
      <c r="H19" s="19" t="inlineStr">
        <is>
          <t>Samsung</t>
        </is>
      </c>
      <c r="I19" s="19" t="n">
        <v>162179</v>
      </c>
      <c r="J19" s="20" t="n">
        <v>4865.37</v>
      </c>
    </row>
    <row r="20">
      <c r="D20" s="19" t="inlineStr">
        <is>
          <t>B-T-1676</t>
        </is>
      </c>
      <c r="E20" s="24" t="n">
        <v>44330</v>
      </c>
      <c r="F20" s="19" t="inlineStr">
        <is>
          <t>Bangalore</t>
        </is>
      </c>
      <c r="G20" s="19" t="inlineStr">
        <is>
          <t>Tablet</t>
        </is>
      </c>
      <c r="H20" s="19" t="inlineStr">
        <is>
          <t>HP</t>
        </is>
      </c>
      <c r="I20" s="19" t="n">
        <v>260557</v>
      </c>
      <c r="J20" s="20" t="n">
        <v>10422.28</v>
      </c>
    </row>
    <row r="21">
      <c r="D21" s="19" t="inlineStr">
        <is>
          <t>M-L-6743</t>
        </is>
      </c>
      <c r="E21" s="24" t="n">
        <v>44340</v>
      </c>
      <c r="F21" s="19" t="inlineStr">
        <is>
          <t>Mumbai</t>
        </is>
      </c>
      <c r="G21" s="19" t="inlineStr">
        <is>
          <t>Laptop</t>
        </is>
      </c>
      <c r="H21" s="19" t="inlineStr">
        <is>
          <t>HP</t>
        </is>
      </c>
      <c r="I21" s="19" t="n">
        <v>191997</v>
      </c>
      <c r="J21" s="20" t="n">
        <v>5759.91</v>
      </c>
    </row>
    <row r="22">
      <c r="D22" s="19" t="inlineStr">
        <is>
          <t>M-T-9641</t>
        </is>
      </c>
      <c r="E22" s="24" t="n">
        <v>44522</v>
      </c>
      <c r="F22" s="19" t="inlineStr">
        <is>
          <t>Mumbai</t>
        </is>
      </c>
      <c r="G22" s="19" t="inlineStr">
        <is>
          <t>Tablet</t>
        </is>
      </c>
      <c r="H22" s="19" t="inlineStr">
        <is>
          <t>Samsung</t>
        </is>
      </c>
      <c r="I22" s="19" t="n">
        <v>340531</v>
      </c>
      <c r="J22" s="20" t="n">
        <v>17026.55</v>
      </c>
    </row>
    <row r="23">
      <c r="D23" s="19" t="inlineStr">
        <is>
          <t>C-L-2902</t>
        </is>
      </c>
      <c r="E23" s="24" t="n">
        <v>44559</v>
      </c>
      <c r="F23" s="19" t="inlineStr">
        <is>
          <t>Chennai</t>
        </is>
      </c>
      <c r="G23" s="19" t="inlineStr">
        <is>
          <t>Laptop</t>
        </is>
      </c>
      <c r="H23" s="19" t="inlineStr">
        <is>
          <t>Apple</t>
        </is>
      </c>
      <c r="I23" s="19" t="n">
        <v>446852</v>
      </c>
      <c r="J23" s="20" t="n">
        <v>26811.12</v>
      </c>
    </row>
    <row r="24">
      <c r="D24" s="19" t="inlineStr">
        <is>
          <t>N-T-9269</t>
        </is>
      </c>
      <c r="E24" s="24" t="n">
        <v>44312</v>
      </c>
      <c r="F24" s="19" t="inlineStr">
        <is>
          <t>Nagpur</t>
        </is>
      </c>
      <c r="G24" s="19" t="inlineStr">
        <is>
          <t>Tablet</t>
        </is>
      </c>
      <c r="H24" s="19" t="inlineStr">
        <is>
          <t>Samsung</t>
        </is>
      </c>
      <c r="I24" s="19" t="n">
        <v>136867</v>
      </c>
      <c r="J24" s="20" t="n">
        <v>4106.01</v>
      </c>
    </row>
    <row r="25">
      <c r="D25" s="19" t="inlineStr">
        <is>
          <t>C-L-3683</t>
        </is>
      </c>
      <c r="E25" s="24" t="n">
        <v>44314</v>
      </c>
      <c r="F25" s="19" t="inlineStr">
        <is>
          <t>Chennai</t>
        </is>
      </c>
      <c r="G25" s="19" t="inlineStr">
        <is>
          <t>Laptop</t>
        </is>
      </c>
      <c r="H25" s="19" t="inlineStr">
        <is>
          <t>Apple</t>
        </is>
      </c>
      <c r="I25" s="19" t="n">
        <v>516616</v>
      </c>
      <c r="J25" s="20" t="n">
        <v>51661.60000000001</v>
      </c>
    </row>
    <row r="26">
      <c r="D26" s="19" t="inlineStr">
        <is>
          <t>C-T-9049</t>
        </is>
      </c>
      <c r="E26" s="24" t="n">
        <v>44398</v>
      </c>
      <c r="F26" s="19" t="inlineStr">
        <is>
          <t>Chennai</t>
        </is>
      </c>
      <c r="G26" s="19" t="inlineStr">
        <is>
          <t>Tablet</t>
        </is>
      </c>
      <c r="H26" s="19" t="inlineStr">
        <is>
          <t>Samsung</t>
        </is>
      </c>
      <c r="I26" s="19" t="n">
        <v>214977</v>
      </c>
      <c r="J26" s="20" t="n">
        <v>8599.08</v>
      </c>
    </row>
    <row r="27">
      <c r="D27" s="19" t="inlineStr">
        <is>
          <t>N-M-3829</t>
        </is>
      </c>
      <c r="E27" s="24" t="n">
        <v>44502</v>
      </c>
      <c r="F27" s="19" t="inlineStr">
        <is>
          <t>Nagpur</t>
        </is>
      </c>
      <c r="G27" s="19" t="inlineStr">
        <is>
          <t>Mobile</t>
        </is>
      </c>
      <c r="H27" s="19" t="inlineStr">
        <is>
          <t>Apple</t>
        </is>
      </c>
      <c r="I27" s="19" t="n">
        <v>164982</v>
      </c>
      <c r="J27" s="20" t="n">
        <v>4949.46</v>
      </c>
    </row>
    <row r="28">
      <c r="D28" s="19" t="inlineStr">
        <is>
          <t>C-L-9163</t>
        </is>
      </c>
      <c r="E28" s="24" t="n">
        <v>44407</v>
      </c>
      <c r="F28" s="19" t="inlineStr">
        <is>
          <t>Chennai</t>
        </is>
      </c>
      <c r="G28" s="19" t="inlineStr">
        <is>
          <t>Laptop</t>
        </is>
      </c>
      <c r="H28" s="19" t="inlineStr">
        <is>
          <t>HP</t>
        </is>
      </c>
      <c r="I28" s="19" t="n">
        <v>599410</v>
      </c>
      <c r="J28" s="20" t="n">
        <v>59941</v>
      </c>
    </row>
    <row r="29">
      <c r="D29" s="19" t="inlineStr">
        <is>
          <t>P-M-4634</t>
        </is>
      </c>
      <c r="E29" s="24" t="n">
        <v>44618</v>
      </c>
      <c r="F29" s="19" t="inlineStr">
        <is>
          <t>Pune</t>
        </is>
      </c>
      <c r="G29" s="19" t="inlineStr">
        <is>
          <t>Mobile</t>
        </is>
      </c>
      <c r="H29" s="19" t="inlineStr">
        <is>
          <t>Apple</t>
        </is>
      </c>
      <c r="I29" s="19" t="n">
        <v>525266</v>
      </c>
      <c r="J29" s="20" t="n">
        <v>52526.60000000001</v>
      </c>
    </row>
    <row r="30">
      <c r="D30" s="19" t="inlineStr">
        <is>
          <t>C-L-3346</t>
        </is>
      </c>
      <c r="E30" s="24" t="n">
        <v>44648</v>
      </c>
      <c r="F30" s="19" t="inlineStr">
        <is>
          <t>Chennai</t>
        </is>
      </c>
      <c r="G30" s="19" t="inlineStr">
        <is>
          <t>Laptop</t>
        </is>
      </c>
      <c r="H30" s="19" t="inlineStr">
        <is>
          <t>Apple</t>
        </is>
      </c>
      <c r="I30" s="19" t="n">
        <v>208439</v>
      </c>
      <c r="J30" s="20" t="n">
        <v>8337.559999999999</v>
      </c>
    </row>
    <row r="31">
      <c r="D31" s="19" t="inlineStr">
        <is>
          <t>P-L-3699</t>
        </is>
      </c>
      <c r="E31" s="24" t="n">
        <v>44439</v>
      </c>
      <c r="F31" s="19" t="inlineStr">
        <is>
          <t>Pune</t>
        </is>
      </c>
      <c r="G31" s="19" t="inlineStr">
        <is>
          <t>Laptop</t>
        </is>
      </c>
      <c r="H31" s="19" t="inlineStr">
        <is>
          <t>Samsung</t>
        </is>
      </c>
      <c r="I31" s="19" t="n">
        <v>596943</v>
      </c>
      <c r="J31" s="20" t="n">
        <v>59694.3</v>
      </c>
    </row>
    <row r="32">
      <c r="D32" s="19" t="inlineStr">
        <is>
          <t>C-T-9312</t>
        </is>
      </c>
      <c r="E32" s="24" t="n">
        <v>44467</v>
      </c>
      <c r="F32" s="19" t="inlineStr">
        <is>
          <t>Chennai</t>
        </is>
      </c>
      <c r="G32" s="19" t="inlineStr">
        <is>
          <t>Tablet</t>
        </is>
      </c>
      <c r="H32" s="19" t="inlineStr">
        <is>
          <t>HP</t>
        </is>
      </c>
      <c r="I32" s="19" t="n">
        <v>244388</v>
      </c>
      <c r="J32" s="20" t="n">
        <v>9775.52</v>
      </c>
    </row>
    <row r="33">
      <c r="D33" s="19" t="inlineStr">
        <is>
          <t>N-T-1804</t>
        </is>
      </c>
      <c r="E33" s="24" t="n">
        <v>44577</v>
      </c>
      <c r="F33" s="19" t="inlineStr">
        <is>
          <t>Nagpur</t>
        </is>
      </c>
      <c r="G33" s="19" t="inlineStr">
        <is>
          <t>Tablet</t>
        </is>
      </c>
      <c r="H33" s="19" t="inlineStr">
        <is>
          <t>HP</t>
        </is>
      </c>
      <c r="I33" s="19" t="n">
        <v>131993</v>
      </c>
      <c r="J33" s="20" t="n">
        <v>3959.79</v>
      </c>
    </row>
    <row r="34">
      <c r="D34" s="19" t="inlineStr">
        <is>
          <t>B-T-9913</t>
        </is>
      </c>
      <c r="E34" s="24" t="n">
        <v>44419</v>
      </c>
      <c r="F34" s="19" t="inlineStr">
        <is>
          <t>Bhopal</t>
        </is>
      </c>
      <c r="G34" s="19" t="inlineStr">
        <is>
          <t>Tablet</t>
        </is>
      </c>
      <c r="H34" s="19" t="inlineStr">
        <is>
          <t>Samsung</t>
        </is>
      </c>
      <c r="I34" s="19" t="n">
        <v>471720</v>
      </c>
      <c r="J34" s="20" t="n">
        <v>28303.2</v>
      </c>
    </row>
    <row r="35">
      <c r="D35" s="19" t="inlineStr">
        <is>
          <t>P-M-2595</t>
        </is>
      </c>
      <c r="E35" s="24" t="n">
        <v>44407</v>
      </c>
      <c r="F35" s="19" t="inlineStr">
        <is>
          <t>Pune</t>
        </is>
      </c>
      <c r="G35" s="19" t="inlineStr">
        <is>
          <t>Mobile</t>
        </is>
      </c>
      <c r="H35" s="19" t="inlineStr">
        <is>
          <t>Apple</t>
        </is>
      </c>
      <c r="I35" s="19" t="n">
        <v>121713</v>
      </c>
      <c r="J35" s="20" t="n">
        <v>3651.39</v>
      </c>
    </row>
    <row r="36">
      <c r="D36" s="19" t="inlineStr">
        <is>
          <t>N-L-2448</t>
        </is>
      </c>
      <c r="E36" s="24" t="n">
        <v>44352</v>
      </c>
      <c r="F36" s="19" t="inlineStr">
        <is>
          <t>Nagpur</t>
        </is>
      </c>
      <c r="G36" s="19" t="inlineStr">
        <is>
          <t>Laptop</t>
        </is>
      </c>
      <c r="H36" s="19" t="inlineStr">
        <is>
          <t>HP</t>
        </is>
      </c>
      <c r="I36" s="19" t="n">
        <v>292765</v>
      </c>
      <c r="J36" s="20" t="n">
        <v>11710.6</v>
      </c>
    </row>
    <row r="37">
      <c r="D37" s="19" t="inlineStr">
        <is>
          <t>N-M-3596</t>
        </is>
      </c>
      <c r="E37" s="24" t="n">
        <v>44364</v>
      </c>
      <c r="F37" s="19" t="inlineStr">
        <is>
          <t>Nagpur</t>
        </is>
      </c>
      <c r="G37" s="19" t="inlineStr">
        <is>
          <t>Mobile</t>
        </is>
      </c>
      <c r="H37" s="19" t="inlineStr">
        <is>
          <t>Apple</t>
        </is>
      </c>
      <c r="I37" s="19" t="n">
        <v>394736</v>
      </c>
      <c r="J37" s="20" t="n">
        <v>19736.8</v>
      </c>
    </row>
    <row r="38">
      <c r="D38" s="19" t="inlineStr">
        <is>
          <t>C-M-9124</t>
        </is>
      </c>
      <c r="E38" s="24" t="n">
        <v>44620</v>
      </c>
      <c r="F38" s="19" t="inlineStr">
        <is>
          <t>Chennai</t>
        </is>
      </c>
      <c r="G38" s="19" t="inlineStr">
        <is>
          <t>Mobile</t>
        </is>
      </c>
      <c r="H38" s="19" t="inlineStr">
        <is>
          <t>Apple</t>
        </is>
      </c>
      <c r="I38" s="19" t="n">
        <v>289678</v>
      </c>
      <c r="J38" s="20" t="n">
        <v>11587.12</v>
      </c>
    </row>
    <row r="39">
      <c r="D39" s="19" t="inlineStr">
        <is>
          <t>C-M-3271</t>
        </is>
      </c>
      <c r="E39" s="24" t="n">
        <v>44574</v>
      </c>
      <c r="F39" s="19" t="inlineStr">
        <is>
          <t>Chennai</t>
        </is>
      </c>
      <c r="G39" s="19" t="inlineStr">
        <is>
          <t>Mobile</t>
        </is>
      </c>
      <c r="H39" s="19" t="inlineStr">
        <is>
          <t>Apple</t>
        </is>
      </c>
      <c r="I39" s="19" t="n">
        <v>311501</v>
      </c>
      <c r="J39" s="20" t="n">
        <v>15575.05</v>
      </c>
    </row>
    <row r="40">
      <c r="D40" s="19" t="inlineStr">
        <is>
          <t>C-L-4670</t>
        </is>
      </c>
      <c r="E40" s="24" t="n">
        <v>44358</v>
      </c>
      <c r="F40" s="19" t="inlineStr">
        <is>
          <t>Chennai</t>
        </is>
      </c>
      <c r="G40" s="19" t="inlineStr">
        <is>
          <t>Laptop</t>
        </is>
      </c>
      <c r="H40" s="19" t="inlineStr">
        <is>
          <t>Samsung</t>
        </is>
      </c>
      <c r="I40" s="19" t="n">
        <v>470422</v>
      </c>
      <c r="J40" s="20" t="n">
        <v>28225.32</v>
      </c>
    </row>
    <row r="41">
      <c r="D41" s="19" t="inlineStr">
        <is>
          <t>P-T-6355</t>
        </is>
      </c>
      <c r="E41" s="24" t="n">
        <v>44636</v>
      </c>
      <c r="F41" s="19" t="inlineStr">
        <is>
          <t>Pune</t>
        </is>
      </c>
      <c r="G41" s="19" t="inlineStr">
        <is>
          <t>Tablet</t>
        </is>
      </c>
      <c r="H41" s="19" t="inlineStr">
        <is>
          <t>HP</t>
        </is>
      </c>
      <c r="I41" s="19" t="n">
        <v>419842</v>
      </c>
      <c r="J41" s="20" t="n">
        <v>25190.52</v>
      </c>
    </row>
    <row r="42">
      <c r="D42" s="19" t="inlineStr">
        <is>
          <t>P-L-1068</t>
        </is>
      </c>
      <c r="E42" s="24" t="n">
        <v>44431</v>
      </c>
      <c r="F42" s="19" t="inlineStr">
        <is>
          <t>Pune</t>
        </is>
      </c>
      <c r="G42" s="19" t="inlineStr">
        <is>
          <t>Laptop</t>
        </is>
      </c>
      <c r="H42" s="19" t="inlineStr">
        <is>
          <t>HP</t>
        </is>
      </c>
      <c r="I42" s="19" t="n">
        <v>213748</v>
      </c>
      <c r="J42" s="20" t="n">
        <v>8549.92</v>
      </c>
    </row>
    <row r="43">
      <c r="D43" s="19" t="inlineStr">
        <is>
          <t>N-T-2718</t>
        </is>
      </c>
      <c r="E43" s="24" t="n">
        <v>44379</v>
      </c>
      <c r="F43" s="19" t="inlineStr">
        <is>
          <t>Nagpur</t>
        </is>
      </c>
      <c r="G43" s="19" t="inlineStr">
        <is>
          <t>Tablet</t>
        </is>
      </c>
      <c r="H43" s="19" t="inlineStr">
        <is>
          <t>Samsung</t>
        </is>
      </c>
      <c r="I43" s="19" t="n">
        <v>493013</v>
      </c>
      <c r="J43" s="20" t="n">
        <v>29580.78</v>
      </c>
    </row>
    <row r="44">
      <c r="D44" s="19" t="inlineStr">
        <is>
          <t>B-L-6823</t>
        </is>
      </c>
      <c r="E44" s="24" t="n">
        <v>44418</v>
      </c>
      <c r="F44" s="19" t="inlineStr">
        <is>
          <t>Bhopal</t>
        </is>
      </c>
      <c r="G44" s="19" t="inlineStr">
        <is>
          <t>Laptop</t>
        </is>
      </c>
      <c r="H44" s="19" t="inlineStr">
        <is>
          <t>Apple</t>
        </is>
      </c>
      <c r="I44" s="19" t="n">
        <v>124833</v>
      </c>
      <c r="J44" s="20" t="n">
        <v>3744.99</v>
      </c>
    </row>
    <row r="45">
      <c r="D45" s="19" t="inlineStr">
        <is>
          <t>P-T-3044</t>
        </is>
      </c>
      <c r="E45" s="24" t="n">
        <v>44624</v>
      </c>
      <c r="F45" s="19" t="inlineStr">
        <is>
          <t>Pune</t>
        </is>
      </c>
      <c r="G45" s="19" t="inlineStr">
        <is>
          <t>Tablet</t>
        </is>
      </c>
      <c r="H45" s="19" t="inlineStr">
        <is>
          <t>Samsung</t>
        </is>
      </c>
      <c r="I45" s="19" t="n">
        <v>132529</v>
      </c>
      <c r="J45" s="20" t="n">
        <v>3975.87</v>
      </c>
    </row>
    <row r="46">
      <c r="D46" s="19" t="inlineStr">
        <is>
          <t>N-L-9289</t>
        </is>
      </c>
      <c r="E46" s="24" t="n">
        <v>44575</v>
      </c>
      <c r="F46" s="19" t="inlineStr">
        <is>
          <t>Nagpur</t>
        </is>
      </c>
      <c r="G46" s="19" t="inlineStr">
        <is>
          <t>Laptop</t>
        </is>
      </c>
      <c r="H46" s="19" t="inlineStr">
        <is>
          <t>Apple</t>
        </is>
      </c>
      <c r="I46" s="19" t="n">
        <v>517324</v>
      </c>
      <c r="J46" s="20" t="n">
        <v>51732.4</v>
      </c>
    </row>
    <row r="47">
      <c r="D47" s="19" t="inlineStr">
        <is>
          <t>C-T-6807</t>
        </is>
      </c>
      <c r="E47" s="24" t="n">
        <v>44341</v>
      </c>
      <c r="F47" s="19" t="inlineStr">
        <is>
          <t>Chennai</t>
        </is>
      </c>
      <c r="G47" s="19" t="inlineStr">
        <is>
          <t>Tablet</t>
        </is>
      </c>
      <c r="H47" s="19" t="inlineStr">
        <is>
          <t>Samsung</t>
        </is>
      </c>
      <c r="I47" s="19" t="n">
        <v>110337</v>
      </c>
      <c r="J47" s="20" t="n">
        <v>3310.11</v>
      </c>
    </row>
    <row r="48">
      <c r="D48" s="19" t="inlineStr">
        <is>
          <t>P-M-3850</t>
        </is>
      </c>
      <c r="E48" s="24" t="n">
        <v>44346</v>
      </c>
      <c r="F48" s="19" t="inlineStr">
        <is>
          <t>Pune</t>
        </is>
      </c>
      <c r="G48" s="19" t="inlineStr">
        <is>
          <t>Mobile</t>
        </is>
      </c>
      <c r="H48" s="19" t="inlineStr">
        <is>
          <t>Apple</t>
        </is>
      </c>
      <c r="I48" s="19" t="n">
        <v>246001</v>
      </c>
      <c r="J48" s="20" t="n">
        <v>9840.040000000001</v>
      </c>
    </row>
    <row r="49">
      <c r="D49" s="19" t="inlineStr">
        <is>
          <t>N-L-6650</t>
        </is>
      </c>
      <c r="E49" s="24" t="n">
        <v>44349</v>
      </c>
      <c r="F49" s="19" t="inlineStr">
        <is>
          <t>Nagpur</t>
        </is>
      </c>
      <c r="G49" s="19" t="inlineStr">
        <is>
          <t>Laptop</t>
        </is>
      </c>
      <c r="H49" s="19" t="inlineStr">
        <is>
          <t>HP</t>
        </is>
      </c>
      <c r="I49" s="19" t="n">
        <v>367030</v>
      </c>
      <c r="J49" s="20" t="n">
        <v>18351.5</v>
      </c>
    </row>
    <row r="50">
      <c r="D50" s="19" t="inlineStr">
        <is>
          <t>B-M-6324</t>
        </is>
      </c>
      <c r="E50" s="24" t="n">
        <v>44512</v>
      </c>
      <c r="F50" s="19" t="inlineStr">
        <is>
          <t>Bhopal</t>
        </is>
      </c>
      <c r="G50" s="19" t="inlineStr">
        <is>
          <t>Mobile</t>
        </is>
      </c>
      <c r="H50" s="19" t="inlineStr">
        <is>
          <t>Apple</t>
        </is>
      </c>
      <c r="I50" s="19" t="n">
        <v>357759</v>
      </c>
      <c r="J50" s="20" t="n">
        <v>17887.95</v>
      </c>
    </row>
    <row r="51">
      <c r="D51" s="19" t="inlineStr">
        <is>
          <t>B-L-5635</t>
        </is>
      </c>
      <c r="E51" s="24" t="n">
        <v>44443</v>
      </c>
      <c r="F51" s="19" t="inlineStr">
        <is>
          <t>Bhopal</t>
        </is>
      </c>
      <c r="G51" s="19" t="inlineStr">
        <is>
          <t>Laptop</t>
        </is>
      </c>
      <c r="H51" s="19" t="inlineStr">
        <is>
          <t>Apple</t>
        </is>
      </c>
      <c r="I51" s="19" t="n">
        <v>590998</v>
      </c>
      <c r="J51" s="20" t="n">
        <v>59099.8</v>
      </c>
    </row>
    <row r="52">
      <c r="D52" s="19" t="inlineStr">
        <is>
          <t>P-L-6161</t>
        </is>
      </c>
      <c r="E52" s="24" t="n">
        <v>44371</v>
      </c>
      <c r="F52" s="19" t="inlineStr">
        <is>
          <t>Pune</t>
        </is>
      </c>
      <c r="G52" s="19" t="inlineStr">
        <is>
          <t>Laptop</t>
        </is>
      </c>
      <c r="H52" s="19" t="inlineStr">
        <is>
          <t>Samsung</t>
        </is>
      </c>
      <c r="I52" s="19" t="n">
        <v>513693</v>
      </c>
      <c r="J52" s="20" t="n">
        <v>51369.3</v>
      </c>
    </row>
    <row r="53">
      <c r="D53" s="19" t="inlineStr">
        <is>
          <t>P-T-6250</t>
        </is>
      </c>
      <c r="E53" s="24" t="n">
        <v>44512</v>
      </c>
      <c r="F53" s="19" t="inlineStr">
        <is>
          <t>Pune</t>
        </is>
      </c>
      <c r="G53" s="19" t="inlineStr">
        <is>
          <t>Tablet</t>
        </is>
      </c>
      <c r="H53" s="19" t="inlineStr">
        <is>
          <t>HP</t>
        </is>
      </c>
      <c r="I53" s="19" t="n">
        <v>479792</v>
      </c>
      <c r="J53" s="20" t="n">
        <v>28787.52</v>
      </c>
    </row>
    <row r="54">
      <c r="D54" s="19" t="inlineStr">
        <is>
          <t>B-T-7089</t>
        </is>
      </c>
      <c r="E54" s="24" t="n">
        <v>44308</v>
      </c>
      <c r="F54" s="19" t="inlineStr">
        <is>
          <t>Bhopal</t>
        </is>
      </c>
      <c r="G54" s="19" t="inlineStr">
        <is>
          <t>Tablet</t>
        </is>
      </c>
      <c r="H54" s="19" t="inlineStr">
        <is>
          <t>HP</t>
        </is>
      </c>
      <c r="I54" s="19" t="n">
        <v>573226</v>
      </c>
      <c r="J54" s="20" t="n">
        <v>57322.60000000001</v>
      </c>
    </row>
    <row r="55">
      <c r="D55" s="19" t="inlineStr">
        <is>
          <t>N-T-6616</t>
        </is>
      </c>
      <c r="E55" s="24" t="n">
        <v>44358</v>
      </c>
      <c r="F55" s="19" t="inlineStr">
        <is>
          <t>Nagpur</t>
        </is>
      </c>
      <c r="G55" s="19" t="inlineStr">
        <is>
          <t>Tablet</t>
        </is>
      </c>
      <c r="H55" s="19" t="inlineStr">
        <is>
          <t>Samsung</t>
        </is>
      </c>
      <c r="I55" s="19" t="n">
        <v>317874</v>
      </c>
      <c r="J55" s="20" t="n">
        <v>15893.7</v>
      </c>
    </row>
    <row r="56">
      <c r="D56" s="19" t="inlineStr">
        <is>
          <t>C-M-2830</t>
        </is>
      </c>
      <c r="E56" s="24" t="n">
        <v>44420</v>
      </c>
      <c r="F56" s="19" t="inlineStr">
        <is>
          <t>Chennai</t>
        </is>
      </c>
      <c r="G56" s="19" t="inlineStr">
        <is>
          <t>Mobile</t>
        </is>
      </c>
      <c r="H56" s="19" t="inlineStr">
        <is>
          <t>Apple</t>
        </is>
      </c>
      <c r="I56" s="19" t="n">
        <v>294690</v>
      </c>
      <c r="J56" s="20" t="n">
        <v>11787.6</v>
      </c>
    </row>
    <row r="57">
      <c r="D57" s="19" t="inlineStr">
        <is>
          <t>N-L-8761</t>
        </is>
      </c>
      <c r="E57" s="24" t="n">
        <v>44298</v>
      </c>
      <c r="F57" s="19" t="inlineStr">
        <is>
          <t>Nagpur</t>
        </is>
      </c>
      <c r="G57" s="19" t="inlineStr">
        <is>
          <t>Laptop</t>
        </is>
      </c>
      <c r="H57" s="19" t="inlineStr">
        <is>
          <t>HP</t>
        </is>
      </c>
      <c r="I57" s="19" t="n">
        <v>172573</v>
      </c>
      <c r="J57" s="20" t="n">
        <v>5177.19</v>
      </c>
    </row>
    <row r="58">
      <c r="D58" s="19" t="inlineStr">
        <is>
          <t>N-M-1738</t>
        </is>
      </c>
      <c r="E58" s="24" t="n">
        <v>44464</v>
      </c>
      <c r="F58" s="19" t="inlineStr">
        <is>
          <t>Nagpur</t>
        </is>
      </c>
      <c r="G58" s="19" t="inlineStr">
        <is>
          <t>Mobile</t>
        </is>
      </c>
      <c r="H58" s="19" t="inlineStr">
        <is>
          <t>Apple</t>
        </is>
      </c>
      <c r="I58" s="19" t="n">
        <v>546362</v>
      </c>
      <c r="J58" s="20" t="n">
        <v>54636.2</v>
      </c>
    </row>
    <row r="59">
      <c r="D59" s="19" t="inlineStr">
        <is>
          <t>B-M-7655</t>
        </is>
      </c>
      <c r="E59" s="24" t="n">
        <v>44370</v>
      </c>
      <c r="F59" s="19" t="inlineStr">
        <is>
          <t>Bhopal</t>
        </is>
      </c>
      <c r="G59" s="19" t="inlineStr">
        <is>
          <t>Mobile</t>
        </is>
      </c>
      <c r="H59" s="19" t="inlineStr">
        <is>
          <t>Apple</t>
        </is>
      </c>
      <c r="I59" s="19" t="n">
        <v>417091</v>
      </c>
      <c r="J59" s="20" t="n">
        <v>25025.46</v>
      </c>
    </row>
    <row r="60">
      <c r="D60" s="19" t="inlineStr">
        <is>
          <t>N-M-5062</t>
        </is>
      </c>
      <c r="E60" s="24" t="n">
        <v>44573</v>
      </c>
      <c r="F60" s="19" t="inlineStr">
        <is>
          <t>Nagpur</t>
        </is>
      </c>
      <c r="G60" s="19" t="inlineStr">
        <is>
          <t>Mobile</t>
        </is>
      </c>
      <c r="H60" s="19" t="inlineStr">
        <is>
          <t>Apple</t>
        </is>
      </c>
      <c r="I60" s="19" t="n">
        <v>368859</v>
      </c>
      <c r="J60" s="20" t="n">
        <v>18442.95</v>
      </c>
    </row>
    <row r="61">
      <c r="D61" s="19" t="inlineStr">
        <is>
          <t>D-L-8778</t>
        </is>
      </c>
      <c r="E61" s="24" t="n">
        <v>44622</v>
      </c>
      <c r="F61" s="19" t="inlineStr">
        <is>
          <t>Delhi</t>
        </is>
      </c>
      <c r="G61" s="19" t="inlineStr">
        <is>
          <t>Laptop</t>
        </is>
      </c>
      <c r="H61" s="19" t="inlineStr">
        <is>
          <t>Apple</t>
        </is>
      </c>
      <c r="I61" s="19" t="n">
        <v>263293</v>
      </c>
      <c r="J61" s="20" t="n">
        <v>10531.72</v>
      </c>
    </row>
    <row r="62">
      <c r="D62" s="19" t="inlineStr">
        <is>
          <t>M-T-2139</t>
        </is>
      </c>
      <c r="E62" s="24" t="n">
        <v>44375</v>
      </c>
      <c r="F62" s="19" t="inlineStr">
        <is>
          <t>Mumbai</t>
        </is>
      </c>
      <c r="G62" s="19" t="inlineStr">
        <is>
          <t>Tablet</t>
        </is>
      </c>
      <c r="H62" s="19" t="inlineStr">
        <is>
          <t>Samsung</t>
        </is>
      </c>
      <c r="I62" s="19" t="n">
        <v>186073</v>
      </c>
      <c r="J62" s="20" t="n">
        <v>5582.19</v>
      </c>
    </row>
    <row r="63">
      <c r="D63" s="19" t="inlineStr">
        <is>
          <t>M-L-8496</t>
        </is>
      </c>
      <c r="E63" s="24" t="n">
        <v>44454</v>
      </c>
      <c r="F63" s="19" t="inlineStr">
        <is>
          <t>Mumbai</t>
        </is>
      </c>
      <c r="G63" s="19" t="inlineStr">
        <is>
          <t>Laptop</t>
        </is>
      </c>
      <c r="H63" s="19" t="inlineStr">
        <is>
          <t>Apple</t>
        </is>
      </c>
      <c r="I63" s="19" t="n">
        <v>359374</v>
      </c>
      <c r="J63" s="20" t="n">
        <v>17968.7</v>
      </c>
    </row>
    <row r="64">
      <c r="D64" s="19" t="inlineStr">
        <is>
          <t>D-T-9981</t>
        </is>
      </c>
      <c r="E64" s="24" t="n">
        <v>44495</v>
      </c>
      <c r="F64" s="19" t="inlineStr">
        <is>
          <t>Delhi</t>
        </is>
      </c>
      <c r="G64" s="19" t="inlineStr">
        <is>
          <t>Tablet</t>
        </is>
      </c>
      <c r="H64" s="19" t="inlineStr">
        <is>
          <t>Samsung</t>
        </is>
      </c>
      <c r="I64" s="19" t="n">
        <v>160847</v>
      </c>
      <c r="J64" s="20" t="n">
        <v>4825.41</v>
      </c>
    </row>
    <row r="65">
      <c r="D65" s="19" t="inlineStr">
        <is>
          <t>M-M-7258</t>
        </is>
      </c>
      <c r="E65" s="24" t="n">
        <v>44482</v>
      </c>
      <c r="F65" s="19" t="inlineStr">
        <is>
          <t>Mumbai</t>
        </is>
      </c>
      <c r="G65" s="19" t="inlineStr">
        <is>
          <t>Mobile</t>
        </is>
      </c>
      <c r="H65" s="19" t="inlineStr">
        <is>
          <t>Apple</t>
        </is>
      </c>
      <c r="I65" s="19" t="n">
        <v>166116</v>
      </c>
      <c r="J65" s="20" t="n">
        <v>4983.48</v>
      </c>
    </row>
    <row r="66">
      <c r="D66" s="19" t="inlineStr">
        <is>
          <t>M-L-7227</t>
        </is>
      </c>
      <c r="E66" s="24" t="n">
        <v>44400</v>
      </c>
      <c r="F66" s="19" t="inlineStr">
        <is>
          <t>Mumbai</t>
        </is>
      </c>
      <c r="G66" s="19" t="inlineStr">
        <is>
          <t>Laptop</t>
        </is>
      </c>
      <c r="H66" s="19" t="inlineStr">
        <is>
          <t>HP</t>
        </is>
      </c>
      <c r="I66" s="19" t="n">
        <v>216602</v>
      </c>
      <c r="J66" s="20" t="n">
        <v>8664.08</v>
      </c>
    </row>
    <row r="67">
      <c r="D67" s="19" t="inlineStr">
        <is>
          <t>D-M-3217</t>
        </is>
      </c>
      <c r="E67" s="24" t="n">
        <v>44448</v>
      </c>
      <c r="F67" s="19" t="inlineStr">
        <is>
          <t>Delhi</t>
        </is>
      </c>
      <c r="G67" s="19" t="inlineStr">
        <is>
          <t>Mobile</t>
        </is>
      </c>
      <c r="H67" s="19" t="inlineStr">
        <is>
          <t>Apple</t>
        </is>
      </c>
      <c r="I67" s="19" t="n">
        <v>239749</v>
      </c>
      <c r="J67" s="20" t="n">
        <v>9589.960000000001</v>
      </c>
    </row>
    <row r="68">
      <c r="D68" s="19" t="inlineStr">
        <is>
          <t>M-L-8590</t>
        </is>
      </c>
      <c r="E68" s="24" t="n">
        <v>44381</v>
      </c>
      <c r="F68" s="19" t="inlineStr">
        <is>
          <t>Mumbai</t>
        </is>
      </c>
      <c r="G68" s="19" t="inlineStr">
        <is>
          <t>Laptop</t>
        </is>
      </c>
      <c r="H68" s="19" t="inlineStr">
        <is>
          <t>Apple</t>
        </is>
      </c>
      <c r="I68" s="19" t="n">
        <v>269164</v>
      </c>
      <c r="J68" s="20" t="n">
        <v>10766.56</v>
      </c>
    </row>
    <row r="69">
      <c r="D69" s="19" t="inlineStr">
        <is>
          <t>B-L-2083</t>
        </is>
      </c>
      <c r="E69" s="24" t="n">
        <v>44529</v>
      </c>
      <c r="F69" s="19" t="inlineStr">
        <is>
          <t>Bangalore</t>
        </is>
      </c>
      <c r="G69" s="19" t="inlineStr">
        <is>
          <t>Laptop</t>
        </is>
      </c>
      <c r="H69" s="19" t="inlineStr">
        <is>
          <t>Samsung</t>
        </is>
      </c>
      <c r="I69" s="19" t="n">
        <v>189574</v>
      </c>
      <c r="J69" s="20" t="n">
        <v>5687.219999999999</v>
      </c>
    </row>
    <row r="70">
      <c r="D70" s="19" t="inlineStr">
        <is>
          <t>M-T-2368</t>
        </is>
      </c>
      <c r="E70" s="24" t="n">
        <v>44542</v>
      </c>
      <c r="F70" s="19" t="inlineStr">
        <is>
          <t>Mumbai</t>
        </is>
      </c>
      <c r="G70" s="19" t="inlineStr">
        <is>
          <t>Tablet</t>
        </is>
      </c>
      <c r="H70" s="19" t="inlineStr">
        <is>
          <t>HP</t>
        </is>
      </c>
      <c r="I70" s="19" t="n">
        <v>259237</v>
      </c>
      <c r="J70" s="20" t="n">
        <v>10369.48</v>
      </c>
    </row>
    <row r="71">
      <c r="D71" s="19" t="inlineStr">
        <is>
          <t>D-T-9426</t>
        </is>
      </c>
      <c r="E71" s="24" t="n">
        <v>44335</v>
      </c>
      <c r="F71" s="19" t="inlineStr">
        <is>
          <t>Delhi</t>
        </is>
      </c>
      <c r="G71" s="19" t="inlineStr">
        <is>
          <t>Tablet</t>
        </is>
      </c>
      <c r="H71" s="19" t="inlineStr">
        <is>
          <t>HP</t>
        </is>
      </c>
      <c r="I71" s="19" t="n">
        <v>157481</v>
      </c>
      <c r="J71" s="20" t="n">
        <v>4724.429999999999</v>
      </c>
    </row>
    <row r="72">
      <c r="D72" s="19" t="inlineStr">
        <is>
          <t>M-T-7886</t>
        </is>
      </c>
      <c r="E72" s="24" t="n">
        <v>44379</v>
      </c>
      <c r="F72" s="19" t="inlineStr">
        <is>
          <t>Mumbai</t>
        </is>
      </c>
      <c r="G72" s="19" t="inlineStr">
        <is>
          <t>Tablet</t>
        </is>
      </c>
      <c r="H72" s="19" t="inlineStr">
        <is>
          <t>Samsung</t>
        </is>
      </c>
      <c r="I72" s="19" t="n">
        <v>297769</v>
      </c>
      <c r="J72" s="20" t="n">
        <v>11910.76</v>
      </c>
    </row>
    <row r="73">
      <c r="D73" s="19" t="inlineStr">
        <is>
          <t>D-M-5773</t>
        </is>
      </c>
      <c r="E73" s="24" t="n">
        <v>44334</v>
      </c>
      <c r="F73" s="19" t="inlineStr">
        <is>
          <t>Delhi</t>
        </is>
      </c>
      <c r="G73" s="19" t="inlineStr">
        <is>
          <t>Mobile</t>
        </is>
      </c>
      <c r="H73" s="19" t="inlineStr">
        <is>
          <t>Apple</t>
        </is>
      </c>
      <c r="I73" s="19" t="n">
        <v>197482</v>
      </c>
      <c r="J73" s="20" t="n">
        <v>5924.46</v>
      </c>
    </row>
    <row r="74">
      <c r="D74" s="19" t="inlineStr">
        <is>
          <t>D-L-4690</t>
        </is>
      </c>
      <c r="E74" s="24" t="n">
        <v>44294</v>
      </c>
      <c r="F74" s="19" t="inlineStr">
        <is>
          <t>Delhi</t>
        </is>
      </c>
      <c r="G74" s="19" t="inlineStr">
        <is>
          <t>Laptop</t>
        </is>
      </c>
      <c r="H74" s="19" t="inlineStr">
        <is>
          <t>HP</t>
        </is>
      </c>
      <c r="I74" s="19" t="n">
        <v>273542</v>
      </c>
      <c r="J74" s="20" t="n">
        <v>10941.68</v>
      </c>
    </row>
    <row r="75">
      <c r="D75" s="19" t="inlineStr">
        <is>
          <t>B-M-4745</t>
        </is>
      </c>
      <c r="E75" s="24" t="n">
        <v>44537</v>
      </c>
      <c r="F75" s="19" t="inlineStr">
        <is>
          <t>Bangalore</t>
        </is>
      </c>
      <c r="G75" s="19" t="inlineStr">
        <is>
          <t>Mobile</t>
        </is>
      </c>
      <c r="H75" s="19" t="inlineStr">
        <is>
          <t>Apple</t>
        </is>
      </c>
      <c r="I75" s="19" t="n">
        <v>255290</v>
      </c>
      <c r="J75" s="20" t="n">
        <v>10211.6</v>
      </c>
    </row>
    <row r="76">
      <c r="D76" s="19" t="inlineStr">
        <is>
          <t>B-M-5452</t>
        </is>
      </c>
      <c r="E76" s="24" t="n">
        <v>44463</v>
      </c>
      <c r="F76" s="19" t="inlineStr">
        <is>
          <t>Bangalore</t>
        </is>
      </c>
      <c r="G76" s="19" t="inlineStr">
        <is>
          <t>Mobile</t>
        </is>
      </c>
      <c r="H76" s="19" t="inlineStr">
        <is>
          <t>Apple</t>
        </is>
      </c>
      <c r="I76" s="19" t="n">
        <v>342143</v>
      </c>
      <c r="J76" s="20" t="n">
        <v>17107.15</v>
      </c>
    </row>
    <row r="77">
      <c r="D77" s="19" t="inlineStr">
        <is>
          <t>B-M-6277</t>
        </is>
      </c>
      <c r="E77" s="24" t="n">
        <v>44408</v>
      </c>
      <c r="F77" s="19" t="inlineStr">
        <is>
          <t>Bangalore</t>
        </is>
      </c>
      <c r="G77" s="19" t="inlineStr">
        <is>
          <t>Mobile</t>
        </is>
      </c>
      <c r="H77" s="19" t="inlineStr">
        <is>
          <t>Apple</t>
        </is>
      </c>
      <c r="I77" s="19" t="n">
        <v>177269</v>
      </c>
      <c r="J77" s="20" t="n">
        <v>5318.07</v>
      </c>
    </row>
    <row r="78">
      <c r="D78" s="19" t="inlineStr">
        <is>
          <t>B-L-2010</t>
        </is>
      </c>
      <c r="E78" s="24" t="n">
        <v>44371</v>
      </c>
      <c r="F78" s="19" t="inlineStr">
        <is>
          <t>Bangalore</t>
        </is>
      </c>
      <c r="G78" s="19" t="inlineStr">
        <is>
          <t>Laptop</t>
        </is>
      </c>
      <c r="H78" s="19" t="inlineStr">
        <is>
          <t>Samsung</t>
        </is>
      </c>
      <c r="I78" s="19" t="n">
        <v>162179</v>
      </c>
      <c r="J78" s="20" t="n">
        <v>4865.37</v>
      </c>
    </row>
    <row r="79">
      <c r="D79" s="19" t="inlineStr">
        <is>
          <t>B-T-5773</t>
        </is>
      </c>
      <c r="E79" s="24" t="n">
        <v>44330</v>
      </c>
      <c r="F79" s="19" t="inlineStr">
        <is>
          <t>Bangalore</t>
        </is>
      </c>
      <c r="G79" s="19" t="inlineStr">
        <is>
          <t>Tablet</t>
        </is>
      </c>
      <c r="H79" s="19" t="inlineStr">
        <is>
          <t>HP</t>
        </is>
      </c>
      <c r="I79" s="19" t="n">
        <v>260557</v>
      </c>
      <c r="J79" s="20" t="n">
        <v>10422.28</v>
      </c>
    </row>
    <row r="80">
      <c r="D80" s="19" t="inlineStr">
        <is>
          <t>M-L-7106</t>
        </is>
      </c>
      <c r="E80" s="24" t="n">
        <v>44340</v>
      </c>
      <c r="F80" s="19" t="inlineStr">
        <is>
          <t>Mumbai</t>
        </is>
      </c>
      <c r="G80" s="19" t="inlineStr">
        <is>
          <t>Laptop</t>
        </is>
      </c>
      <c r="H80" s="19" t="inlineStr">
        <is>
          <t>HP</t>
        </is>
      </c>
      <c r="I80" s="19" t="n">
        <v>191997</v>
      </c>
      <c r="J80" s="20" t="n">
        <v>5759.91</v>
      </c>
    </row>
    <row r="81">
      <c r="D81" s="19" t="inlineStr">
        <is>
          <t>M-T-7270</t>
        </is>
      </c>
      <c r="E81" s="24" t="n">
        <v>44522</v>
      </c>
      <c r="F81" s="19" t="inlineStr">
        <is>
          <t>Mumbai</t>
        </is>
      </c>
      <c r="G81" s="19" t="inlineStr">
        <is>
          <t>Tablet</t>
        </is>
      </c>
      <c r="H81" s="19" t="inlineStr">
        <is>
          <t>Samsung</t>
        </is>
      </c>
      <c r="I81" s="19" t="n">
        <v>340531</v>
      </c>
      <c r="J81" s="20" t="n">
        <v>17026.55</v>
      </c>
    </row>
    <row r="82">
      <c r="D82" s="19" t="inlineStr">
        <is>
          <t>C-L-5855</t>
        </is>
      </c>
      <c r="E82" s="24" t="n">
        <v>44559</v>
      </c>
      <c r="F82" s="19" t="inlineStr">
        <is>
          <t>Chennai</t>
        </is>
      </c>
      <c r="G82" s="19" t="inlineStr">
        <is>
          <t>Laptop</t>
        </is>
      </c>
      <c r="H82" s="19" t="inlineStr">
        <is>
          <t>Apple</t>
        </is>
      </c>
      <c r="I82" s="19" t="n">
        <v>446852</v>
      </c>
      <c r="J82" s="20" t="n">
        <v>26811.12</v>
      </c>
    </row>
    <row r="83">
      <c r="D83" s="19" t="inlineStr">
        <is>
          <t>N-T-6950</t>
        </is>
      </c>
      <c r="E83" s="24" t="n">
        <v>44312</v>
      </c>
      <c r="F83" s="19" t="inlineStr">
        <is>
          <t>Nagpur</t>
        </is>
      </c>
      <c r="G83" s="19" t="inlineStr">
        <is>
          <t>Tablet</t>
        </is>
      </c>
      <c r="H83" s="19" t="inlineStr">
        <is>
          <t>Samsung</t>
        </is>
      </c>
      <c r="I83" s="19" t="n">
        <v>136867</v>
      </c>
      <c r="J83" s="20" t="n">
        <v>4106.01</v>
      </c>
    </row>
    <row r="84">
      <c r="D84" s="19" t="inlineStr">
        <is>
          <t>C-L-5992</t>
        </is>
      </c>
      <c r="E84" s="24" t="n">
        <v>44314</v>
      </c>
      <c r="F84" s="19" t="inlineStr">
        <is>
          <t>Chennai</t>
        </is>
      </c>
      <c r="G84" s="19" t="inlineStr">
        <is>
          <t>Laptop</t>
        </is>
      </c>
      <c r="H84" s="19" t="inlineStr">
        <is>
          <t>Apple</t>
        </is>
      </c>
      <c r="I84" s="19" t="n">
        <v>516616</v>
      </c>
      <c r="J84" s="20" t="n">
        <v>51661.60000000001</v>
      </c>
    </row>
    <row r="85">
      <c r="D85" s="19" t="inlineStr">
        <is>
          <t>C-T-6670</t>
        </is>
      </c>
      <c r="E85" s="24" t="n">
        <v>44398</v>
      </c>
      <c r="F85" s="19" t="inlineStr">
        <is>
          <t>Chennai</t>
        </is>
      </c>
      <c r="G85" s="19" t="inlineStr">
        <is>
          <t>Tablet</t>
        </is>
      </c>
      <c r="H85" s="19" t="inlineStr">
        <is>
          <t>Samsung</t>
        </is>
      </c>
      <c r="I85" s="19" t="n">
        <v>214977</v>
      </c>
      <c r="J85" s="20" t="n">
        <v>8599.08</v>
      </c>
    </row>
    <row r="86">
      <c r="D86" s="19" t="inlineStr">
        <is>
          <t>N-M-4956</t>
        </is>
      </c>
      <c r="E86" s="24" t="n">
        <v>44502</v>
      </c>
      <c r="F86" s="19" t="inlineStr">
        <is>
          <t>Nagpur</t>
        </is>
      </c>
      <c r="G86" s="19" t="inlineStr">
        <is>
          <t>Mobile</t>
        </is>
      </c>
      <c r="H86" s="19" t="inlineStr">
        <is>
          <t>Apple</t>
        </is>
      </c>
      <c r="I86" s="19" t="n">
        <v>164982</v>
      </c>
      <c r="J86" s="20" t="n">
        <v>4949.46</v>
      </c>
    </row>
    <row r="87">
      <c r="D87" s="19" t="inlineStr">
        <is>
          <t>C-L-9531</t>
        </is>
      </c>
      <c r="E87" s="24" t="n">
        <v>44407</v>
      </c>
      <c r="F87" s="19" t="inlineStr">
        <is>
          <t>Chennai</t>
        </is>
      </c>
      <c r="G87" s="19" t="inlineStr">
        <is>
          <t>Laptop</t>
        </is>
      </c>
      <c r="H87" s="19" t="inlineStr">
        <is>
          <t>HP</t>
        </is>
      </c>
      <c r="I87" s="19" t="n">
        <v>599410</v>
      </c>
      <c r="J87" s="20" t="n">
        <v>59941</v>
      </c>
    </row>
    <row r="88">
      <c r="D88" s="19" t="inlineStr">
        <is>
          <t>P-M-4446</t>
        </is>
      </c>
      <c r="E88" s="24" t="n">
        <v>44618</v>
      </c>
      <c r="F88" s="19" t="inlineStr">
        <is>
          <t>Pune</t>
        </is>
      </c>
      <c r="G88" s="19" t="inlineStr">
        <is>
          <t>Mobile</t>
        </is>
      </c>
      <c r="H88" s="19" t="inlineStr">
        <is>
          <t>Apple</t>
        </is>
      </c>
      <c r="I88" s="19" t="n">
        <v>525266</v>
      </c>
      <c r="J88" s="20" t="n">
        <v>52526.60000000001</v>
      </c>
    </row>
    <row r="89">
      <c r="D89" s="19" t="inlineStr">
        <is>
          <t>C-L-8966</t>
        </is>
      </c>
      <c r="E89" s="24" t="n">
        <v>44648</v>
      </c>
      <c r="F89" s="19" t="inlineStr">
        <is>
          <t>Chennai</t>
        </is>
      </c>
      <c r="G89" s="19" t="inlineStr">
        <is>
          <t>Laptop</t>
        </is>
      </c>
      <c r="H89" s="19" t="inlineStr">
        <is>
          <t>Apple</t>
        </is>
      </c>
      <c r="I89" s="19" t="n">
        <v>208439</v>
      </c>
      <c r="J89" s="20" t="n">
        <v>8337.559999999999</v>
      </c>
    </row>
    <row r="90">
      <c r="D90" s="19" t="inlineStr">
        <is>
          <t>P-L-5869</t>
        </is>
      </c>
      <c r="E90" s="24" t="n">
        <v>44439</v>
      </c>
      <c r="F90" s="19" t="inlineStr">
        <is>
          <t>Pune</t>
        </is>
      </c>
      <c r="G90" s="19" t="inlineStr">
        <is>
          <t>Laptop</t>
        </is>
      </c>
      <c r="H90" s="19" t="inlineStr">
        <is>
          <t>Samsung</t>
        </is>
      </c>
      <c r="I90" s="19" t="n">
        <v>596943</v>
      </c>
      <c r="J90" s="20" t="n">
        <v>59694.3</v>
      </c>
    </row>
    <row r="91">
      <c r="D91" s="19" t="inlineStr">
        <is>
          <t>C-T-5114</t>
        </is>
      </c>
      <c r="E91" s="24" t="n">
        <v>44467</v>
      </c>
      <c r="F91" s="19" t="inlineStr">
        <is>
          <t>Chennai</t>
        </is>
      </c>
      <c r="G91" s="19" t="inlineStr">
        <is>
          <t>Tablet</t>
        </is>
      </c>
      <c r="H91" s="19" t="inlineStr">
        <is>
          <t>HP</t>
        </is>
      </c>
      <c r="I91" s="19" t="n">
        <v>244388</v>
      </c>
      <c r="J91" s="20" t="n">
        <v>9775.52</v>
      </c>
    </row>
    <row r="92">
      <c r="D92" s="19" t="inlineStr">
        <is>
          <t>N-T-1572</t>
        </is>
      </c>
      <c r="E92" s="24" t="n">
        <v>44577</v>
      </c>
      <c r="F92" s="19" t="inlineStr">
        <is>
          <t>Nagpur</t>
        </is>
      </c>
      <c r="G92" s="19" t="inlineStr">
        <is>
          <t>Tablet</t>
        </is>
      </c>
      <c r="H92" s="19" t="inlineStr">
        <is>
          <t>HP</t>
        </is>
      </c>
      <c r="I92" s="19" t="n">
        <v>131993</v>
      </c>
      <c r="J92" s="20" t="n">
        <v>3959.79</v>
      </c>
    </row>
    <row r="93">
      <c r="D93" s="19" t="inlineStr">
        <is>
          <t>B-T-5744</t>
        </is>
      </c>
      <c r="E93" s="24" t="n">
        <v>44419</v>
      </c>
      <c r="F93" s="19" t="inlineStr">
        <is>
          <t>Bhopal</t>
        </is>
      </c>
      <c r="G93" s="19" t="inlineStr">
        <is>
          <t>Tablet</t>
        </is>
      </c>
      <c r="H93" s="19" t="inlineStr">
        <is>
          <t>Samsung</t>
        </is>
      </c>
      <c r="I93" s="19" t="n">
        <v>471720</v>
      </c>
      <c r="J93" s="20" t="n">
        <v>28303.2</v>
      </c>
    </row>
    <row r="94">
      <c r="D94" s="19" t="inlineStr">
        <is>
          <t>P-M-6459</t>
        </is>
      </c>
      <c r="E94" s="24" t="n">
        <v>44407</v>
      </c>
      <c r="F94" s="19" t="inlineStr">
        <is>
          <t>Pune</t>
        </is>
      </c>
      <c r="G94" s="19" t="inlineStr">
        <is>
          <t>Mobile</t>
        </is>
      </c>
      <c r="H94" s="19" t="inlineStr">
        <is>
          <t>Apple</t>
        </is>
      </c>
      <c r="I94" s="19" t="n">
        <v>121713</v>
      </c>
      <c r="J94" s="20" t="n">
        <v>3651.39</v>
      </c>
    </row>
    <row r="95">
      <c r="D95" s="19" t="inlineStr">
        <is>
          <t>N-L-6129</t>
        </is>
      </c>
      <c r="E95" s="24" t="n">
        <v>44352</v>
      </c>
      <c r="F95" s="19" t="inlineStr">
        <is>
          <t>Nagpur</t>
        </is>
      </c>
      <c r="G95" s="19" t="inlineStr">
        <is>
          <t>Laptop</t>
        </is>
      </c>
      <c r="H95" s="19" t="inlineStr">
        <is>
          <t>HP</t>
        </is>
      </c>
      <c r="I95" s="19" t="n">
        <v>292765</v>
      </c>
      <c r="J95" s="20" t="n">
        <v>11710.6</v>
      </c>
    </row>
    <row r="96">
      <c r="D96" s="19" t="inlineStr">
        <is>
          <t>N-M-7996</t>
        </is>
      </c>
      <c r="E96" s="24" t="n">
        <v>44364</v>
      </c>
      <c r="F96" s="19" t="inlineStr">
        <is>
          <t>Nagpur</t>
        </is>
      </c>
      <c r="G96" s="19" t="inlineStr">
        <is>
          <t>Mobile</t>
        </is>
      </c>
      <c r="H96" s="19" t="inlineStr">
        <is>
          <t>Apple</t>
        </is>
      </c>
      <c r="I96" s="19" t="n">
        <v>394736</v>
      </c>
      <c r="J96" s="20" t="n">
        <v>19736.8</v>
      </c>
    </row>
    <row r="97">
      <c r="D97" s="19" t="inlineStr">
        <is>
          <t>C-M-3174</t>
        </is>
      </c>
      <c r="E97" s="24" t="n">
        <v>44620</v>
      </c>
      <c r="F97" s="19" t="inlineStr">
        <is>
          <t>Chennai</t>
        </is>
      </c>
      <c r="G97" s="19" t="inlineStr">
        <is>
          <t>Mobile</t>
        </is>
      </c>
      <c r="H97" s="19" t="inlineStr">
        <is>
          <t>Apple</t>
        </is>
      </c>
      <c r="I97" s="19" t="n">
        <v>289678</v>
      </c>
      <c r="J97" s="20" t="n">
        <v>11587.12</v>
      </c>
    </row>
    <row r="98">
      <c r="D98" s="19" t="inlineStr">
        <is>
          <t>C-M-4699</t>
        </is>
      </c>
      <c r="E98" s="24" t="n">
        <v>44574</v>
      </c>
      <c r="F98" s="19" t="inlineStr">
        <is>
          <t>Chennai</t>
        </is>
      </c>
      <c r="G98" s="19" t="inlineStr">
        <is>
          <t>Mobile</t>
        </is>
      </c>
      <c r="H98" s="19" t="inlineStr">
        <is>
          <t>Apple</t>
        </is>
      </c>
      <c r="I98" s="19" t="n">
        <v>311501</v>
      </c>
      <c r="J98" s="20" t="n">
        <v>15575.05</v>
      </c>
    </row>
    <row r="99">
      <c r="D99" s="19" t="inlineStr">
        <is>
          <t>C-L-5372</t>
        </is>
      </c>
      <c r="E99" s="24" t="n">
        <v>44358</v>
      </c>
      <c r="F99" s="19" t="inlineStr">
        <is>
          <t>Chennai</t>
        </is>
      </c>
      <c r="G99" s="19" t="inlineStr">
        <is>
          <t>Laptop</t>
        </is>
      </c>
      <c r="H99" s="19" t="inlineStr">
        <is>
          <t>Samsung</t>
        </is>
      </c>
      <c r="I99" s="19" t="n">
        <v>470422</v>
      </c>
      <c r="J99" s="20" t="n">
        <v>28225.32</v>
      </c>
    </row>
    <row r="100">
      <c r="D100" s="19" t="inlineStr">
        <is>
          <t>P-T-6006</t>
        </is>
      </c>
      <c r="E100" s="24" t="n">
        <v>44636</v>
      </c>
      <c r="F100" s="19" t="inlineStr">
        <is>
          <t>Pune</t>
        </is>
      </c>
      <c r="G100" s="19" t="inlineStr">
        <is>
          <t>Tablet</t>
        </is>
      </c>
      <c r="H100" s="19" t="inlineStr">
        <is>
          <t>HP</t>
        </is>
      </c>
      <c r="I100" s="19" t="n">
        <v>419842</v>
      </c>
      <c r="J100" s="20" t="n">
        <v>25190.52</v>
      </c>
    </row>
    <row r="101">
      <c r="D101" s="19" t="inlineStr">
        <is>
          <t>P-L-2852</t>
        </is>
      </c>
      <c r="E101" s="24" t="n">
        <v>44431</v>
      </c>
      <c r="F101" s="19" t="inlineStr">
        <is>
          <t>Pune</t>
        </is>
      </c>
      <c r="G101" s="19" t="inlineStr">
        <is>
          <t>Laptop</t>
        </is>
      </c>
      <c r="H101" s="19" t="inlineStr">
        <is>
          <t>HP</t>
        </is>
      </c>
      <c r="I101" s="19" t="n">
        <v>213748</v>
      </c>
      <c r="J101" s="20" t="n">
        <v>8549.92</v>
      </c>
    </row>
    <row r="102">
      <c r="D102" s="19" t="inlineStr">
        <is>
          <t>N-T-6300</t>
        </is>
      </c>
      <c r="E102" s="24" t="n">
        <v>44379</v>
      </c>
      <c r="F102" s="19" t="inlineStr">
        <is>
          <t>Nagpur</t>
        </is>
      </c>
      <c r="G102" s="19" t="inlineStr">
        <is>
          <t>Tablet</t>
        </is>
      </c>
      <c r="H102" s="19" t="inlineStr">
        <is>
          <t>Samsung</t>
        </is>
      </c>
      <c r="I102" s="19" t="n">
        <v>493013</v>
      </c>
      <c r="J102" s="20" t="n">
        <v>29580.78</v>
      </c>
    </row>
    <row r="103">
      <c r="D103" s="19" t="inlineStr">
        <is>
          <t>B-L-6822</t>
        </is>
      </c>
      <c r="E103" s="24" t="n">
        <v>44418</v>
      </c>
      <c r="F103" s="19" t="inlineStr">
        <is>
          <t>Bhopal</t>
        </is>
      </c>
      <c r="G103" s="19" t="inlineStr">
        <is>
          <t>Laptop</t>
        </is>
      </c>
      <c r="H103" s="19" t="inlineStr">
        <is>
          <t>Apple</t>
        </is>
      </c>
      <c r="I103" s="19" t="n">
        <v>124833</v>
      </c>
      <c r="J103" s="20" t="n">
        <v>3744.99</v>
      </c>
    </row>
    <row r="104">
      <c r="D104" s="19" t="inlineStr">
        <is>
          <t>P-T-5211</t>
        </is>
      </c>
      <c r="E104" s="24" t="n">
        <v>44624</v>
      </c>
      <c r="F104" s="19" t="inlineStr">
        <is>
          <t>Pune</t>
        </is>
      </c>
      <c r="G104" s="19" t="inlineStr">
        <is>
          <t>Tablet</t>
        </is>
      </c>
      <c r="H104" s="19" t="inlineStr">
        <is>
          <t>Samsung</t>
        </is>
      </c>
      <c r="I104" s="19" t="n">
        <v>132529</v>
      </c>
      <c r="J104" s="20" t="n">
        <v>3975.87</v>
      </c>
    </row>
    <row r="105">
      <c r="D105" s="19" t="inlineStr">
        <is>
          <t>N-L-4039</t>
        </is>
      </c>
      <c r="E105" s="24" t="n">
        <v>44575</v>
      </c>
      <c r="F105" s="19" t="inlineStr">
        <is>
          <t>Nagpur</t>
        </is>
      </c>
      <c r="G105" s="19" t="inlineStr">
        <is>
          <t>Laptop</t>
        </is>
      </c>
      <c r="H105" s="19" t="inlineStr">
        <is>
          <t>Apple</t>
        </is>
      </c>
      <c r="I105" s="19" t="n">
        <v>517324</v>
      </c>
      <c r="J105" s="20" t="n">
        <v>51732.4</v>
      </c>
    </row>
    <row r="106">
      <c r="D106" s="19" t="inlineStr">
        <is>
          <t>C-T-6358</t>
        </is>
      </c>
      <c r="E106" s="24" t="n">
        <v>44341</v>
      </c>
      <c r="F106" s="19" t="inlineStr">
        <is>
          <t>Chennai</t>
        </is>
      </c>
      <c r="G106" s="19" t="inlineStr">
        <is>
          <t>Tablet</t>
        </is>
      </c>
      <c r="H106" s="19" t="inlineStr">
        <is>
          <t>Samsung</t>
        </is>
      </c>
      <c r="I106" s="19" t="n">
        <v>110337</v>
      </c>
      <c r="J106" s="20" t="n">
        <v>3310.11</v>
      </c>
    </row>
    <row r="107">
      <c r="D107" s="19" t="inlineStr">
        <is>
          <t>P-M-7819</t>
        </is>
      </c>
      <c r="E107" s="24" t="n">
        <v>44346</v>
      </c>
      <c r="F107" s="19" t="inlineStr">
        <is>
          <t>Pune</t>
        </is>
      </c>
      <c r="G107" s="19" t="inlineStr">
        <is>
          <t>Mobile</t>
        </is>
      </c>
      <c r="H107" s="19" t="inlineStr">
        <is>
          <t>Apple</t>
        </is>
      </c>
      <c r="I107" s="19" t="n">
        <v>246001</v>
      </c>
      <c r="J107" s="20" t="n">
        <v>9840.040000000001</v>
      </c>
    </row>
    <row r="108">
      <c r="D108" s="19" t="inlineStr">
        <is>
          <t>N-L-8280</t>
        </is>
      </c>
      <c r="E108" s="24" t="n">
        <v>44349</v>
      </c>
      <c r="F108" s="19" t="inlineStr">
        <is>
          <t>Nagpur</t>
        </is>
      </c>
      <c r="G108" s="19" t="inlineStr">
        <is>
          <t>Laptop</t>
        </is>
      </c>
      <c r="H108" s="19" t="inlineStr">
        <is>
          <t>HP</t>
        </is>
      </c>
      <c r="I108" s="19" t="n">
        <v>367030</v>
      </c>
      <c r="J108" s="20" t="n">
        <v>18351.5</v>
      </c>
    </row>
    <row r="109">
      <c r="D109" s="19" t="inlineStr">
        <is>
          <t>B-M-1976</t>
        </is>
      </c>
      <c r="E109" s="24" t="n">
        <v>44512</v>
      </c>
      <c r="F109" s="19" t="inlineStr">
        <is>
          <t>Bhopal</t>
        </is>
      </c>
      <c r="G109" s="19" t="inlineStr">
        <is>
          <t>Mobile</t>
        </is>
      </c>
      <c r="H109" s="19" t="inlineStr">
        <is>
          <t>Apple</t>
        </is>
      </c>
      <c r="I109" s="19" t="n">
        <v>357759</v>
      </c>
      <c r="J109" s="20" t="n">
        <v>17887.95</v>
      </c>
    </row>
    <row r="110">
      <c r="D110" s="19" t="inlineStr">
        <is>
          <t>B-L-4725</t>
        </is>
      </c>
      <c r="E110" s="24" t="n">
        <v>44443</v>
      </c>
      <c r="F110" s="19" t="inlineStr">
        <is>
          <t>Bhopal</t>
        </is>
      </c>
      <c r="G110" s="19" t="inlineStr">
        <is>
          <t>Laptop</t>
        </is>
      </c>
      <c r="H110" s="19" t="inlineStr">
        <is>
          <t>Apple</t>
        </is>
      </c>
      <c r="I110" s="19" t="n">
        <v>590998</v>
      </c>
      <c r="J110" s="20" t="n">
        <v>59099.8</v>
      </c>
    </row>
    <row r="111">
      <c r="D111" s="19" t="inlineStr">
        <is>
          <t>P-L-6009</t>
        </is>
      </c>
      <c r="E111" s="24" t="n">
        <v>44371</v>
      </c>
      <c r="F111" s="19" t="inlineStr">
        <is>
          <t>Pune</t>
        </is>
      </c>
      <c r="G111" s="19" t="inlineStr">
        <is>
          <t>Laptop</t>
        </is>
      </c>
      <c r="H111" s="19" t="inlineStr">
        <is>
          <t>Samsung</t>
        </is>
      </c>
      <c r="I111" s="19" t="n">
        <v>513693</v>
      </c>
      <c r="J111" s="20" t="n">
        <v>51369.3</v>
      </c>
    </row>
    <row r="112">
      <c r="D112" s="19" t="inlineStr">
        <is>
          <t>P-T-2483</t>
        </is>
      </c>
      <c r="E112" s="24" t="n">
        <v>44512</v>
      </c>
      <c r="F112" s="19" t="inlineStr">
        <is>
          <t>Pune</t>
        </is>
      </c>
      <c r="G112" s="19" t="inlineStr">
        <is>
          <t>Tablet</t>
        </is>
      </c>
      <c r="H112" s="19" t="inlineStr">
        <is>
          <t>HP</t>
        </is>
      </c>
      <c r="I112" s="19" t="n">
        <v>479792</v>
      </c>
      <c r="J112" s="20" t="n">
        <v>28787.52</v>
      </c>
    </row>
    <row r="113">
      <c r="D113" s="19" t="inlineStr">
        <is>
          <t>B-T-2234</t>
        </is>
      </c>
      <c r="E113" s="24" t="n">
        <v>44308</v>
      </c>
      <c r="F113" s="19" t="inlineStr">
        <is>
          <t>Bhopal</t>
        </is>
      </c>
      <c r="G113" s="19" t="inlineStr">
        <is>
          <t>Tablet</t>
        </is>
      </c>
      <c r="H113" s="19" t="inlineStr">
        <is>
          <t>HP</t>
        </is>
      </c>
      <c r="I113" s="19" t="n">
        <v>573226</v>
      </c>
      <c r="J113" s="20" t="n">
        <v>57322.60000000001</v>
      </c>
    </row>
    <row r="114">
      <c r="D114" s="19" t="inlineStr">
        <is>
          <t>N-T-9421</t>
        </is>
      </c>
      <c r="E114" s="24" t="n">
        <v>44358</v>
      </c>
      <c r="F114" s="19" t="inlineStr">
        <is>
          <t>Nagpur</t>
        </is>
      </c>
      <c r="G114" s="19" t="inlineStr">
        <is>
          <t>Tablet</t>
        </is>
      </c>
      <c r="H114" s="19" t="inlineStr">
        <is>
          <t>Samsung</t>
        </is>
      </c>
      <c r="I114" s="19" t="n">
        <v>317874</v>
      </c>
      <c r="J114" s="20" t="n">
        <v>15893.7</v>
      </c>
    </row>
    <row r="115">
      <c r="D115" s="19" t="inlineStr">
        <is>
          <t>C-M-1744</t>
        </is>
      </c>
      <c r="E115" s="24" t="n">
        <v>44420</v>
      </c>
      <c r="F115" s="19" t="inlineStr">
        <is>
          <t>Chennai</t>
        </is>
      </c>
      <c r="G115" s="19" t="inlineStr">
        <is>
          <t>Mobile</t>
        </is>
      </c>
      <c r="H115" s="19" t="inlineStr">
        <is>
          <t>Apple</t>
        </is>
      </c>
      <c r="I115" s="19" t="n">
        <v>294690</v>
      </c>
      <c r="J115" s="20" t="n">
        <v>11787.6</v>
      </c>
    </row>
    <row r="116">
      <c r="D116" s="19" t="inlineStr">
        <is>
          <t>N-L-4971</t>
        </is>
      </c>
      <c r="E116" s="24" t="n">
        <v>44298</v>
      </c>
      <c r="F116" s="19" t="inlineStr">
        <is>
          <t>Nagpur</t>
        </is>
      </c>
      <c r="G116" s="19" t="inlineStr">
        <is>
          <t>Laptop</t>
        </is>
      </c>
      <c r="H116" s="19" t="inlineStr">
        <is>
          <t>HP</t>
        </is>
      </c>
      <c r="I116" s="19" t="n">
        <v>172573</v>
      </c>
      <c r="J116" s="20" t="n">
        <v>5177.19</v>
      </c>
    </row>
    <row r="117">
      <c r="D117" s="19" t="inlineStr">
        <is>
          <t>N-M-3576</t>
        </is>
      </c>
      <c r="E117" s="24" t="n">
        <v>44464</v>
      </c>
      <c r="F117" s="19" t="inlineStr">
        <is>
          <t>Nagpur</t>
        </is>
      </c>
      <c r="G117" s="19" t="inlineStr">
        <is>
          <t>Mobile</t>
        </is>
      </c>
      <c r="H117" s="19" t="inlineStr">
        <is>
          <t>Apple</t>
        </is>
      </c>
      <c r="I117" s="19" t="n">
        <v>546362</v>
      </c>
      <c r="J117" s="20" t="n">
        <v>54636.2</v>
      </c>
    </row>
    <row r="118">
      <c r="D118" s="19" t="inlineStr">
        <is>
          <t>B-M-9124</t>
        </is>
      </c>
      <c r="E118" s="24" t="n">
        <v>44370</v>
      </c>
      <c r="F118" s="19" t="inlineStr">
        <is>
          <t>Bhopal</t>
        </is>
      </c>
      <c r="G118" s="19" t="inlineStr">
        <is>
          <t>Mobile</t>
        </is>
      </c>
      <c r="H118" s="19" t="inlineStr">
        <is>
          <t>Apple</t>
        </is>
      </c>
      <c r="I118" s="19" t="n">
        <v>417091</v>
      </c>
      <c r="J118" s="20" t="n">
        <v>25025.46</v>
      </c>
    </row>
    <row r="119">
      <c r="D119" s="19" t="inlineStr">
        <is>
          <t>N-M-3519</t>
        </is>
      </c>
      <c r="E119" s="24" t="n">
        <v>44573</v>
      </c>
      <c r="F119" s="19" t="inlineStr">
        <is>
          <t>Nagpur</t>
        </is>
      </c>
      <c r="G119" s="19" t="inlineStr">
        <is>
          <t>Mobile</t>
        </is>
      </c>
      <c r="H119" s="19" t="inlineStr">
        <is>
          <t>Apple</t>
        </is>
      </c>
      <c r="I119" s="19" t="n">
        <v>368859</v>
      </c>
      <c r="J119" s="20" t="n">
        <v>18442.95</v>
      </c>
    </row>
    <row r="120">
      <c r="D120" s="21" t="n"/>
      <c r="E120" s="21" t="n"/>
      <c r="F120" s="21" t="n"/>
      <c r="G120" s="21" t="n"/>
      <c r="H120" s="21" t="n"/>
      <c r="I120" s="21" t="n"/>
      <c r="J120" s="21" t="n"/>
    </row>
    <row r="121">
      <c r="D121" s="21" t="n"/>
      <c r="E121" s="21" t="n"/>
      <c r="F121" s="21" t="n"/>
      <c r="G121" s="21" t="n"/>
      <c r="H121" s="21" t="n"/>
      <c r="I121" s="21" t="n"/>
      <c r="J121" s="21" t="n"/>
    </row>
    <row r="122">
      <c r="D122" s="21" t="n"/>
      <c r="E122" s="21" t="n"/>
      <c r="F122" s="21" t="n"/>
      <c r="G122" s="21" t="n"/>
      <c r="H122" s="21" t="n"/>
      <c r="I122" s="21" t="n"/>
      <c r="J122" s="21" t="n"/>
    </row>
    <row r="123">
      <c r="D123" s="21" t="n"/>
      <c r="E123" s="21" t="n"/>
      <c r="F123" s="21" t="n"/>
      <c r="G123" s="21" t="n"/>
      <c r="H123" s="21" t="n"/>
      <c r="I123" s="21" t="n"/>
      <c r="J123" s="21" t="n"/>
    </row>
    <row r="124">
      <c r="D124" s="21" t="n"/>
      <c r="E124" s="21" t="n"/>
      <c r="F124" s="21" t="n"/>
      <c r="G124" s="21" t="n"/>
      <c r="H124" s="21" t="n"/>
      <c r="I124" s="21" t="n"/>
      <c r="J124" s="21" t="n"/>
    </row>
    <row r="125">
      <c r="D125" s="21" t="n"/>
      <c r="E125" s="21" t="n"/>
      <c r="F125" s="21" t="n"/>
      <c r="G125" s="21" t="n"/>
      <c r="H125" s="21" t="n"/>
      <c r="I125" s="21" t="n"/>
      <c r="J125" s="21" t="n"/>
    </row>
    <row r="126">
      <c r="D126" s="21" t="n"/>
      <c r="E126" s="21" t="n"/>
      <c r="F126" s="21" t="n"/>
      <c r="G126" s="21" t="n"/>
      <c r="H126" s="21" t="n"/>
      <c r="I126" s="21" t="n"/>
      <c r="J126" s="21" t="n"/>
    </row>
    <row r="127">
      <c r="D127" s="21" t="n"/>
      <c r="E127" s="21" t="n"/>
      <c r="F127" s="21" t="n"/>
      <c r="G127" s="21" t="n"/>
      <c r="H127" s="21" t="n"/>
      <c r="I127" s="21" t="n"/>
      <c r="J127" s="21" t="n"/>
    </row>
    <row r="128">
      <c r="D128" s="21" t="n"/>
      <c r="E128" s="21" t="n"/>
      <c r="F128" s="21" t="n"/>
      <c r="G128" s="21" t="n"/>
      <c r="H128" s="21" t="n"/>
      <c r="I128" s="21" t="n"/>
      <c r="J128" s="21" t="n"/>
    </row>
    <row r="129">
      <c r="D129" s="21" t="n"/>
      <c r="E129" s="21" t="n"/>
      <c r="F129" s="21" t="n"/>
      <c r="G129" s="21" t="n"/>
      <c r="H129" s="21" t="n"/>
      <c r="I129" s="21" t="n"/>
      <c r="J129" s="21" t="n"/>
    </row>
    <row r="130">
      <c r="D130" s="21" t="n"/>
      <c r="E130" s="21" t="n"/>
      <c r="F130" s="21" t="n"/>
      <c r="G130" s="21" t="n"/>
      <c r="H130" s="21" t="n"/>
      <c r="I130" s="21" t="n"/>
      <c r="J130" s="21" t="n"/>
    </row>
    <row r="131">
      <c r="D131" s="21" t="n"/>
      <c r="E131" s="21" t="n"/>
      <c r="F131" s="21" t="n"/>
      <c r="G131" s="21" t="n"/>
      <c r="H131" s="21" t="n"/>
      <c r="I131" s="21" t="n"/>
      <c r="J131" s="21" t="n"/>
    </row>
    <row r="132">
      <c r="D132" s="21" t="n"/>
      <c r="E132" s="21" t="n"/>
      <c r="F132" s="21" t="n"/>
      <c r="G132" s="21" t="n"/>
      <c r="H132" s="21" t="n"/>
      <c r="I132" s="21" t="n"/>
      <c r="J132" s="21" t="n"/>
    </row>
    <row r="133">
      <c r="D133" s="21" t="n"/>
      <c r="E133" s="21" t="n"/>
      <c r="F133" s="21" t="n"/>
      <c r="G133" s="21" t="n"/>
      <c r="H133" s="21" t="n"/>
      <c r="I133" s="21" t="n"/>
      <c r="J133" s="21" t="n"/>
    </row>
    <row r="134">
      <c r="D134" s="21" t="n"/>
      <c r="E134" s="21" t="n"/>
      <c r="F134" s="21" t="n"/>
      <c r="G134" s="21" t="n"/>
      <c r="H134" s="21" t="n"/>
      <c r="I134" s="21" t="n"/>
      <c r="J134" s="21" t="n"/>
    </row>
    <row r="135">
      <c r="D135" s="21" t="n"/>
      <c r="E135" s="21" t="n"/>
      <c r="F135" s="21" t="n"/>
      <c r="G135" s="21" t="n"/>
      <c r="H135" s="21" t="n"/>
      <c r="I135" s="21" t="n"/>
      <c r="J135" s="21" t="n"/>
    </row>
    <row r="136">
      <c r="D136" s="21" t="n"/>
      <c r="E136" s="21" t="n"/>
      <c r="F136" s="21" t="n"/>
      <c r="G136" s="21" t="n"/>
      <c r="H136" s="21" t="n"/>
      <c r="I136" s="21" t="n"/>
      <c r="J136" s="21" t="n"/>
    </row>
    <row r="137">
      <c r="D137" s="21" t="n"/>
      <c r="E137" s="21" t="n"/>
      <c r="F137" s="21" t="n"/>
      <c r="G137" s="21" t="n"/>
      <c r="H137" s="21" t="n"/>
      <c r="I137" s="21" t="n"/>
      <c r="J137" s="21" t="n"/>
    </row>
    <row r="138">
      <c r="D138" s="21" t="n"/>
      <c r="E138" s="21" t="n"/>
      <c r="F138" s="21" t="n"/>
      <c r="G138" s="21" t="n"/>
      <c r="H138" s="21" t="n"/>
      <c r="I138" s="21" t="n"/>
      <c r="J138" s="21" t="n"/>
    </row>
    <row r="139">
      <c r="D139" s="21" t="n"/>
      <c r="E139" s="21" t="n"/>
      <c r="F139" s="21" t="n"/>
      <c r="G139" s="21" t="n"/>
      <c r="H139" s="21" t="n"/>
      <c r="I139" s="21" t="n"/>
      <c r="J139" s="21" t="n"/>
    </row>
    <row r="140">
      <c r="D140" s="21" t="n"/>
      <c r="E140" s="21" t="n"/>
      <c r="F140" s="21" t="n"/>
      <c r="G140" s="21" t="n"/>
      <c r="H140" s="21" t="n"/>
      <c r="I140" s="21" t="n"/>
      <c r="J140" s="21" t="n"/>
    </row>
    <row r="141">
      <c r="D141" s="21" t="n"/>
      <c r="E141" s="21" t="n"/>
      <c r="F141" s="21" t="n"/>
      <c r="G141" s="21" t="n"/>
      <c r="H141" s="21" t="n"/>
      <c r="I141" s="21" t="n"/>
      <c r="J141" s="21" t="n"/>
    </row>
    <row r="142">
      <c r="D142" s="21" t="n"/>
      <c r="E142" s="21" t="n"/>
      <c r="F142" s="21" t="n"/>
      <c r="G142" s="21" t="n"/>
      <c r="H142" s="21" t="n"/>
      <c r="I142" s="21" t="n"/>
      <c r="J142" s="21" t="n"/>
    </row>
    <row r="143">
      <c r="D143" s="21" t="n"/>
      <c r="E143" s="21" t="n"/>
      <c r="F143" s="21" t="n"/>
      <c r="G143" s="21" t="n"/>
      <c r="H143" s="21" t="n"/>
      <c r="I143" s="21" t="n"/>
      <c r="J143" s="21" t="n"/>
    </row>
    <row r="144">
      <c r="D144" s="21" t="n"/>
      <c r="E144" s="21" t="n"/>
      <c r="F144" s="21" t="n"/>
      <c r="G144" s="21" t="n"/>
      <c r="H144" s="21" t="n"/>
      <c r="I144" s="21" t="n"/>
      <c r="J144" s="21" t="n"/>
    </row>
    <row r="145">
      <c r="D145" s="21" t="n"/>
      <c r="E145" s="21" t="n"/>
      <c r="F145" s="21" t="n"/>
      <c r="G145" s="21" t="n"/>
      <c r="H145" s="21" t="n"/>
      <c r="I145" s="21" t="n"/>
      <c r="J145" s="21" t="n"/>
    </row>
    <row r="146">
      <c r="D146" s="21" t="n"/>
      <c r="E146" s="21" t="n"/>
      <c r="F146" s="21" t="n"/>
      <c r="G146" s="21" t="n"/>
      <c r="H146" s="21" t="n"/>
      <c r="I146" s="21" t="n"/>
      <c r="J146" s="21" t="n"/>
    </row>
    <row r="147">
      <c r="D147" s="21" t="n"/>
      <c r="E147" s="21" t="n"/>
      <c r="F147" s="21" t="n"/>
      <c r="G147" s="21" t="n"/>
      <c r="H147" s="21" t="n"/>
      <c r="I147" s="21" t="n"/>
      <c r="J147" s="21" t="n"/>
    </row>
    <row r="148">
      <c r="D148" s="21" t="n"/>
      <c r="E148" s="21" t="n"/>
      <c r="F148" s="21" t="n"/>
      <c r="G148" s="21" t="n"/>
      <c r="H148" s="21" t="n"/>
      <c r="I148" s="21" t="n"/>
      <c r="J148" s="21" t="n"/>
    </row>
    <row r="149">
      <c r="D149" s="21" t="n"/>
      <c r="E149" s="21" t="n"/>
      <c r="F149" s="21" t="n"/>
      <c r="G149" s="21" t="n"/>
      <c r="H149" s="21" t="n"/>
      <c r="I149" s="21" t="n"/>
      <c r="J149" s="21" t="n"/>
    </row>
    <row r="150">
      <c r="D150" s="21" t="n"/>
      <c r="E150" s="21" t="n"/>
      <c r="F150" s="21" t="n"/>
      <c r="G150" s="21" t="n"/>
      <c r="H150" s="21" t="n"/>
      <c r="I150" s="21" t="n"/>
      <c r="J150" s="21" t="n"/>
    </row>
    <row r="151">
      <c r="D151" s="21" t="n"/>
      <c r="E151" s="21" t="n"/>
      <c r="F151" s="21" t="n"/>
      <c r="G151" s="21" t="n"/>
      <c r="H151" s="21" t="n"/>
      <c r="I151" s="21" t="n"/>
      <c r="J151" s="21" t="n"/>
    </row>
    <row r="152">
      <c r="D152" s="21" t="n"/>
      <c r="E152" s="21" t="n"/>
      <c r="F152" s="21" t="n"/>
      <c r="G152" s="21" t="n"/>
      <c r="H152" s="21" t="n"/>
      <c r="I152" s="21" t="n"/>
      <c r="J152" s="21" t="n"/>
    </row>
    <row r="153">
      <c r="D153" s="21" t="n"/>
      <c r="E153" s="21" t="n"/>
      <c r="F153" s="21" t="n"/>
      <c r="G153" s="21" t="n"/>
      <c r="H153" s="21" t="n"/>
      <c r="I153" s="21" t="n"/>
      <c r="J153" s="21" t="n"/>
    </row>
    <row r="154">
      <c r="D154" s="21" t="n"/>
      <c r="E154" s="21" t="n"/>
      <c r="F154" s="21" t="n"/>
      <c r="G154" s="21" t="n"/>
      <c r="H154" s="21" t="n"/>
      <c r="I154" s="21" t="n"/>
      <c r="J154" s="21" t="n"/>
    </row>
    <row r="155">
      <c r="D155" s="21" t="n"/>
      <c r="E155" s="21" t="n"/>
      <c r="F155" s="21" t="n"/>
      <c r="G155" s="21" t="n"/>
      <c r="H155" s="21" t="n"/>
      <c r="I155" s="21" t="n"/>
      <c r="J155" s="21" t="n"/>
    </row>
    <row r="156">
      <c r="D156" s="21" t="n"/>
      <c r="E156" s="21" t="n"/>
      <c r="F156" s="21" t="n"/>
      <c r="G156" s="21" t="n"/>
      <c r="H156" s="21" t="n"/>
      <c r="I156" s="21" t="n"/>
      <c r="J156" s="21" t="n"/>
    </row>
    <row r="157">
      <c r="D157" s="21" t="n"/>
      <c r="E157" s="21" t="n"/>
      <c r="F157" s="21" t="n"/>
      <c r="G157" s="21" t="n"/>
      <c r="H157" s="21" t="n"/>
      <c r="I157" s="21" t="n"/>
      <c r="J157" s="21" t="n"/>
    </row>
    <row r="158">
      <c r="D158" s="21" t="n"/>
      <c r="E158" s="21" t="n"/>
      <c r="F158" s="21" t="n"/>
      <c r="G158" s="21" t="n"/>
      <c r="H158" s="21" t="n"/>
      <c r="I158" s="21" t="n"/>
      <c r="J158" s="21" t="n"/>
    </row>
    <row r="159">
      <c r="D159" s="21" t="n"/>
      <c r="E159" s="21" t="n"/>
      <c r="F159" s="21" t="n"/>
      <c r="G159" s="21" t="n"/>
      <c r="H159" s="21" t="n"/>
      <c r="I159" s="21" t="n"/>
      <c r="J159" s="21" t="n"/>
    </row>
    <row r="160">
      <c r="D160" s="21" t="n"/>
      <c r="E160" s="21" t="n"/>
      <c r="F160" s="21" t="n"/>
      <c r="G160" s="21" t="n"/>
      <c r="H160" s="21" t="n"/>
      <c r="I160" s="21" t="n"/>
      <c r="J160" s="21" t="n"/>
    </row>
    <row r="161">
      <c r="D161" s="21" t="n"/>
      <c r="E161" s="21" t="n"/>
      <c r="F161" s="21" t="n"/>
      <c r="G161" s="21" t="n"/>
      <c r="H161" s="21" t="n"/>
      <c r="I161" s="21" t="n"/>
      <c r="J161" s="21" t="n"/>
    </row>
    <row r="162">
      <c r="D162" s="21" t="n"/>
      <c r="E162" s="21" t="n"/>
      <c r="F162" s="21" t="n"/>
      <c r="G162" s="21" t="n"/>
      <c r="H162" s="21" t="n"/>
      <c r="I162" s="21" t="n"/>
      <c r="J162" s="21" t="n"/>
    </row>
    <row r="163">
      <c r="D163" s="21" t="n"/>
      <c r="E163" s="21" t="n"/>
      <c r="F163" s="21" t="n"/>
      <c r="G163" s="21" t="n"/>
      <c r="H163" s="21" t="n"/>
      <c r="I163" s="21" t="n"/>
      <c r="J163" s="21" t="n"/>
    </row>
    <row r="164">
      <c r="D164" s="21" t="n"/>
      <c r="E164" s="21" t="n"/>
      <c r="F164" s="21" t="n"/>
      <c r="G164" s="21" t="n"/>
      <c r="H164" s="21" t="n"/>
      <c r="I164" s="21" t="n"/>
      <c r="J164" s="21" t="n"/>
    </row>
    <row r="165">
      <c r="D165" s="21" t="n"/>
      <c r="E165" s="21" t="n"/>
      <c r="F165" s="21" t="n"/>
      <c r="G165" s="21" t="n"/>
      <c r="H165" s="21" t="n"/>
      <c r="I165" s="21" t="n"/>
      <c r="J165" s="21" t="n"/>
    </row>
    <row r="166">
      <c r="D166" s="21" t="n"/>
      <c r="E166" s="21" t="n"/>
      <c r="F166" s="21" t="n"/>
      <c r="G166" s="21" t="n"/>
      <c r="H166" s="21" t="n"/>
      <c r="I166" s="21" t="n"/>
      <c r="J166" s="21" t="n"/>
    </row>
    <row r="167">
      <c r="D167" s="21" t="n"/>
      <c r="E167" s="21" t="n"/>
      <c r="F167" s="21" t="n"/>
      <c r="G167" s="21" t="n"/>
      <c r="H167" s="21" t="n"/>
      <c r="I167" s="21" t="n"/>
      <c r="J167" s="21" t="n"/>
    </row>
    <row r="168">
      <c r="D168" s="21" t="n"/>
      <c r="E168" s="21" t="n"/>
      <c r="F168" s="21" t="n"/>
      <c r="G168" s="21" t="n"/>
      <c r="H168" s="21" t="n"/>
      <c r="I168" s="21" t="n"/>
      <c r="J168" s="21" t="n"/>
    </row>
    <row r="169">
      <c r="D169" s="21" t="n"/>
      <c r="E169" s="21" t="n"/>
      <c r="F169" s="21" t="n"/>
      <c r="G169" s="21" t="n"/>
      <c r="H169" s="21" t="n"/>
      <c r="I169" s="21" t="n"/>
      <c r="J169" s="21" t="n"/>
    </row>
    <row r="170">
      <c r="D170" s="21" t="n"/>
      <c r="E170" s="21" t="n"/>
      <c r="F170" s="21" t="n"/>
      <c r="G170" s="21" t="n"/>
      <c r="H170" s="21" t="n"/>
      <c r="I170" s="21" t="n"/>
      <c r="J170" s="21" t="n"/>
    </row>
    <row r="171">
      <c r="D171" s="21" t="n"/>
      <c r="E171" s="21" t="n"/>
      <c r="F171" s="21" t="n"/>
      <c r="G171" s="21" t="n"/>
      <c r="H171" s="21" t="n"/>
      <c r="I171" s="21" t="n"/>
      <c r="J171" s="21" t="n"/>
    </row>
    <row r="172">
      <c r="D172" s="21" t="n"/>
      <c r="E172" s="21" t="n"/>
      <c r="F172" s="21" t="n"/>
      <c r="G172" s="21" t="n"/>
      <c r="H172" s="21" t="n"/>
      <c r="I172" s="21" t="n"/>
      <c r="J172" s="21" t="n"/>
    </row>
    <row r="173">
      <c r="D173" s="21" t="n"/>
      <c r="E173" s="21" t="n"/>
      <c r="F173" s="21" t="n"/>
      <c r="G173" s="21" t="n"/>
      <c r="H173" s="21" t="n"/>
      <c r="I173" s="21" t="n"/>
      <c r="J173" s="21" t="n"/>
    </row>
    <row r="174">
      <c r="D174" s="21" t="n"/>
      <c r="E174" s="21" t="n"/>
      <c r="F174" s="21" t="n"/>
      <c r="G174" s="21" t="n"/>
      <c r="H174" s="21" t="n"/>
      <c r="I174" s="21" t="n"/>
      <c r="J174" s="21" t="n"/>
    </row>
    <row r="175">
      <c r="D175" s="21" t="n"/>
      <c r="E175" s="21" t="n"/>
      <c r="F175" s="21" t="n"/>
      <c r="G175" s="21" t="n"/>
      <c r="H175" s="21" t="n"/>
      <c r="I175" s="21" t="n"/>
      <c r="J175" s="21" t="n"/>
    </row>
    <row r="176">
      <c r="D176" s="21" t="n"/>
      <c r="E176" s="21" t="n"/>
      <c r="F176" s="21" t="n"/>
      <c r="G176" s="21" t="n"/>
      <c r="H176" s="21" t="n"/>
      <c r="I176" s="21" t="n"/>
      <c r="J176" s="21" t="n"/>
    </row>
    <row r="177">
      <c r="D177" s="21" t="n"/>
      <c r="E177" s="21" t="n"/>
      <c r="F177" s="21" t="n"/>
      <c r="G177" s="21" t="n"/>
      <c r="H177" s="21" t="n"/>
      <c r="I177" s="21" t="n"/>
      <c r="J177" s="21" t="n"/>
    </row>
    <row r="178">
      <c r="D178" s="21" t="n"/>
      <c r="E178" s="21" t="n"/>
      <c r="F178" s="21" t="n"/>
      <c r="G178" s="21" t="n"/>
      <c r="H178" s="21" t="n"/>
      <c r="I178" s="21" t="n"/>
      <c r="J178" s="21" t="n"/>
    </row>
    <row r="179">
      <c r="D179" s="21" t="n"/>
      <c r="E179" s="21" t="n"/>
      <c r="F179" s="21" t="n"/>
      <c r="G179" s="21" t="n"/>
      <c r="H179" s="21" t="n"/>
      <c r="I179" s="21" t="n"/>
      <c r="J179" s="21" t="n"/>
    </row>
    <row r="180">
      <c r="D180" s="21" t="n"/>
      <c r="E180" s="21" t="n"/>
      <c r="F180" s="21" t="n"/>
      <c r="G180" s="21" t="n"/>
      <c r="H180" s="21" t="n"/>
      <c r="I180" s="21" t="n"/>
      <c r="J180" s="21" t="n"/>
    </row>
    <row r="181">
      <c r="D181" s="21" t="n"/>
      <c r="E181" s="21" t="n"/>
      <c r="F181" s="21" t="n"/>
      <c r="G181" s="21" t="n"/>
      <c r="H181" s="21" t="n"/>
      <c r="I181" s="21" t="n"/>
      <c r="J181" s="21" t="n"/>
    </row>
    <row r="182">
      <c r="D182" s="21" t="n"/>
      <c r="E182" s="21" t="n"/>
      <c r="F182" s="21" t="n"/>
      <c r="G182" s="21" t="n"/>
      <c r="H182" s="21" t="n"/>
      <c r="I182" s="21" t="n"/>
      <c r="J182" s="21" t="n"/>
    </row>
    <row r="183">
      <c r="D183" s="21" t="n"/>
      <c r="E183" s="21" t="n"/>
      <c r="F183" s="21" t="n"/>
      <c r="G183" s="21" t="n"/>
      <c r="H183" s="21" t="n"/>
      <c r="I183" s="21" t="n"/>
      <c r="J183" s="21" t="n"/>
    </row>
    <row r="184">
      <c r="D184" s="21" t="n"/>
      <c r="E184" s="21" t="n"/>
      <c r="F184" s="21" t="n"/>
      <c r="G184" s="21" t="n"/>
      <c r="H184" s="21" t="n"/>
      <c r="I184" s="21" t="n"/>
      <c r="J184" s="21" t="n"/>
    </row>
    <row r="185">
      <c r="D185" s="21" t="n"/>
      <c r="E185" s="21" t="n"/>
      <c r="F185" s="21" t="n"/>
      <c r="G185" s="21" t="n"/>
      <c r="H185" s="21" t="n"/>
      <c r="I185" s="21" t="n"/>
      <c r="J185" s="21" t="n"/>
    </row>
    <row r="186">
      <c r="D186" s="21" t="n"/>
      <c r="E186" s="21" t="n"/>
      <c r="F186" s="21" t="n"/>
      <c r="G186" s="21" t="n"/>
      <c r="H186" s="21" t="n"/>
      <c r="I186" s="21" t="n"/>
      <c r="J186" s="21" t="n"/>
    </row>
    <row r="187">
      <c r="D187" s="21" t="n"/>
      <c r="E187" s="21" t="n"/>
      <c r="F187" s="21" t="n"/>
      <c r="G187" s="21" t="n"/>
      <c r="H187" s="21" t="n"/>
      <c r="I187" s="21" t="n"/>
      <c r="J187" s="21" t="n"/>
    </row>
    <row r="188">
      <c r="D188" s="21" t="n"/>
      <c r="E188" s="21" t="n"/>
      <c r="F188" s="21" t="n"/>
      <c r="G188" s="21" t="n"/>
      <c r="H188" s="21" t="n"/>
      <c r="I188" s="21" t="n"/>
      <c r="J188" s="21" t="n"/>
    </row>
    <row r="189">
      <c r="D189" s="21" t="n"/>
      <c r="E189" s="21" t="n"/>
      <c r="F189" s="21" t="n"/>
      <c r="G189" s="21" t="n"/>
      <c r="H189" s="21" t="n"/>
      <c r="I189" s="21" t="n"/>
      <c r="J189" s="21" t="n"/>
    </row>
    <row r="190">
      <c r="D190" s="21" t="n"/>
      <c r="E190" s="21" t="n"/>
      <c r="F190" s="21" t="n"/>
      <c r="G190" s="21" t="n"/>
      <c r="H190" s="21" t="n"/>
      <c r="I190" s="21" t="n"/>
      <c r="J190" s="21" t="n"/>
    </row>
    <row r="191">
      <c r="D191" s="21" t="n"/>
      <c r="E191" s="21" t="n"/>
      <c r="F191" s="21" t="n"/>
      <c r="G191" s="21" t="n"/>
      <c r="H191" s="21" t="n"/>
      <c r="I191" s="21" t="n"/>
      <c r="J191" s="21" t="n"/>
    </row>
    <row r="192">
      <c r="D192" s="21" t="n"/>
      <c r="E192" s="21" t="n"/>
      <c r="F192" s="21" t="n"/>
      <c r="G192" s="21" t="n"/>
      <c r="H192" s="21" t="n"/>
      <c r="I192" s="21" t="n"/>
      <c r="J192" s="21" t="n"/>
    </row>
    <row r="193">
      <c r="D193" s="21" t="n"/>
      <c r="E193" s="21" t="n"/>
      <c r="F193" s="21" t="n"/>
      <c r="G193" s="21" t="n"/>
      <c r="H193" s="21" t="n"/>
      <c r="I193" s="21" t="n"/>
      <c r="J193" s="21" t="n"/>
    </row>
    <row r="194">
      <c r="D194" s="21" t="n"/>
      <c r="E194" s="21" t="n"/>
      <c r="F194" s="21" t="n"/>
      <c r="G194" s="21" t="n"/>
      <c r="H194" s="21" t="n"/>
      <c r="I194" s="21" t="n"/>
      <c r="J194" s="21" t="n"/>
    </row>
    <row r="195">
      <c r="D195" s="21" t="n"/>
      <c r="E195" s="21" t="n"/>
      <c r="F195" s="21" t="n"/>
      <c r="G195" s="21" t="n"/>
      <c r="H195" s="21" t="n"/>
      <c r="I195" s="21" t="n"/>
      <c r="J195" s="21" t="n"/>
    </row>
    <row r="196">
      <c r="D196" s="21" t="n"/>
      <c r="E196" s="21" t="n"/>
      <c r="F196" s="21" t="n"/>
      <c r="G196" s="21" t="n"/>
      <c r="H196" s="21" t="n"/>
      <c r="I196" s="21" t="n"/>
      <c r="J196" s="21" t="n"/>
    </row>
    <row r="197">
      <c r="D197" s="21" t="n"/>
      <c r="E197" s="21" t="n"/>
      <c r="F197" s="21" t="n"/>
      <c r="G197" s="21" t="n"/>
      <c r="H197" s="21" t="n"/>
      <c r="I197" s="21" t="n"/>
      <c r="J197" s="21" t="n"/>
    </row>
    <row r="198">
      <c r="D198" s="21" t="n"/>
      <c r="E198" s="21" t="n"/>
      <c r="F198" s="21" t="n"/>
      <c r="G198" s="21" t="n"/>
      <c r="H198" s="21" t="n"/>
      <c r="I198" s="21" t="n"/>
      <c r="J198" s="21" t="n"/>
    </row>
    <row r="199">
      <c r="D199" s="21" t="n"/>
      <c r="E199" s="21" t="n"/>
      <c r="F199" s="21" t="n"/>
      <c r="G199" s="21" t="n"/>
      <c r="H199" s="21" t="n"/>
      <c r="I199" s="21" t="n"/>
      <c r="J199" s="21" t="n"/>
    </row>
    <row r="200">
      <c r="D200" s="21" t="n"/>
      <c r="E200" s="21" t="n"/>
      <c r="F200" s="21" t="n"/>
      <c r="G200" s="21" t="n"/>
      <c r="H200" s="21" t="n"/>
      <c r="I200" s="21" t="n"/>
      <c r="J200" s="21" t="n"/>
    </row>
    <row r="201">
      <c r="D201" s="21" t="n"/>
      <c r="E201" s="21" t="n"/>
      <c r="F201" s="21" t="n"/>
      <c r="G201" s="21" t="n"/>
      <c r="H201" s="21" t="n"/>
      <c r="I201" s="21" t="n"/>
      <c r="J201" s="21" t="n"/>
    </row>
    <row r="202">
      <c r="D202" s="21" t="n"/>
      <c r="E202" s="21" t="n"/>
      <c r="F202" s="21" t="n"/>
      <c r="G202" s="21" t="n"/>
      <c r="H202" s="21" t="n"/>
      <c r="I202" s="21" t="n"/>
      <c r="J202" s="21" t="n"/>
    </row>
    <row r="203">
      <c r="D203" s="21" t="n"/>
      <c r="E203" s="21" t="n"/>
      <c r="F203" s="21" t="n"/>
      <c r="G203" s="21" t="n"/>
      <c r="H203" s="21" t="n"/>
      <c r="I203" s="21" t="n"/>
      <c r="J203" s="21" t="n"/>
    </row>
    <row r="204">
      <c r="D204" s="21" t="n"/>
      <c r="E204" s="21" t="n"/>
      <c r="F204" s="21" t="n"/>
      <c r="G204" s="21" t="n"/>
      <c r="H204" s="21" t="n"/>
      <c r="I204" s="21" t="n"/>
      <c r="J204" s="21" t="n"/>
    </row>
    <row r="205">
      <c r="D205" s="21" t="n"/>
      <c r="E205" s="21" t="n"/>
      <c r="F205" s="21" t="n"/>
      <c r="G205" s="21" t="n"/>
      <c r="H205" s="21" t="n"/>
      <c r="I205" s="21" t="n"/>
      <c r="J205" s="21" t="n"/>
    </row>
    <row r="206">
      <c r="D206" s="21" t="n"/>
      <c r="E206" s="21" t="n"/>
      <c r="F206" s="21" t="n"/>
      <c r="G206" s="21" t="n"/>
      <c r="H206" s="21" t="n"/>
      <c r="I206" s="21" t="n"/>
      <c r="J206" s="21" t="n"/>
    </row>
    <row r="207">
      <c r="D207" s="21" t="n"/>
      <c r="E207" s="21" t="n"/>
      <c r="F207" s="21" t="n"/>
      <c r="G207" s="21" t="n"/>
      <c r="H207" s="21" t="n"/>
      <c r="I207" s="21" t="n"/>
      <c r="J207" s="21" t="n"/>
    </row>
    <row r="208">
      <c r="D208" s="21" t="n"/>
      <c r="E208" s="21" t="n"/>
      <c r="F208" s="21" t="n"/>
      <c r="G208" s="21" t="n"/>
      <c r="H208" s="21" t="n"/>
      <c r="I208" s="21" t="n"/>
      <c r="J208" s="21" t="n"/>
    </row>
    <row r="209">
      <c r="D209" s="21" t="n"/>
      <c r="E209" s="21" t="n"/>
      <c r="F209" s="21" t="n"/>
      <c r="G209" s="21" t="n"/>
      <c r="H209" s="21" t="n"/>
      <c r="I209" s="21" t="n"/>
      <c r="J209" s="21" t="n"/>
    </row>
    <row r="210">
      <c r="D210" s="21" t="n"/>
      <c r="E210" s="21" t="n"/>
      <c r="F210" s="21" t="n"/>
      <c r="G210" s="21" t="n"/>
      <c r="H210" s="21" t="n"/>
      <c r="I210" s="21" t="n"/>
      <c r="J210" s="21" t="n"/>
    </row>
    <row r="211">
      <c r="D211" s="21" t="n"/>
      <c r="E211" s="21" t="n"/>
      <c r="F211" s="21" t="n"/>
      <c r="G211" s="21" t="n"/>
      <c r="H211" s="21" t="n"/>
      <c r="I211" s="21" t="n"/>
      <c r="J211" s="21" t="n"/>
    </row>
    <row r="212">
      <c r="D212" s="21" t="n"/>
      <c r="E212" s="21" t="n"/>
      <c r="F212" s="21" t="n"/>
      <c r="G212" s="21" t="n"/>
      <c r="H212" s="21" t="n"/>
      <c r="I212" s="21" t="n"/>
      <c r="J212" s="21" t="n"/>
    </row>
    <row r="213">
      <c r="D213" s="21" t="n"/>
      <c r="E213" s="21" t="n"/>
      <c r="F213" s="21" t="n"/>
      <c r="G213" s="21" t="n"/>
      <c r="H213" s="21" t="n"/>
      <c r="I213" s="21" t="n"/>
      <c r="J213" s="21" t="n"/>
    </row>
    <row r="214">
      <c r="D214" s="21" t="n"/>
      <c r="E214" s="21" t="n"/>
      <c r="F214" s="21" t="n"/>
      <c r="G214" s="21" t="n"/>
      <c r="H214" s="21" t="n"/>
      <c r="I214" s="21" t="n"/>
      <c r="J214" s="21" t="n"/>
    </row>
    <row r="215">
      <c r="D215" s="21" t="n"/>
      <c r="E215" s="21" t="n"/>
      <c r="F215" s="21" t="n"/>
      <c r="G215" s="21" t="n"/>
      <c r="H215" s="21" t="n"/>
      <c r="I215" s="21" t="n"/>
      <c r="J215" s="21" t="n"/>
    </row>
    <row r="216">
      <c r="D216" s="21" t="n"/>
      <c r="E216" s="21" t="n"/>
      <c r="F216" s="21" t="n"/>
      <c r="G216" s="21" t="n"/>
      <c r="H216" s="21" t="n"/>
      <c r="I216" s="21" t="n"/>
      <c r="J216" s="21" t="n"/>
    </row>
    <row r="217">
      <c r="D217" s="21" t="n"/>
      <c r="E217" s="21" t="n"/>
      <c r="F217" s="21" t="n"/>
      <c r="G217" s="21" t="n"/>
      <c r="H217" s="21" t="n"/>
      <c r="I217" s="21" t="n"/>
      <c r="J217" s="21" t="n"/>
    </row>
    <row r="218">
      <c r="D218" s="21" t="n"/>
      <c r="E218" s="21" t="n"/>
      <c r="F218" s="21" t="n"/>
      <c r="G218" s="21" t="n"/>
      <c r="H218" s="21" t="n"/>
      <c r="I218" s="21" t="n"/>
      <c r="J218" s="21" t="n"/>
    </row>
    <row r="219">
      <c r="D219" s="21" t="n"/>
      <c r="E219" s="21" t="n"/>
      <c r="F219" s="21" t="n"/>
      <c r="G219" s="21" t="n"/>
      <c r="H219" s="21" t="n"/>
      <c r="I219" s="21" t="n"/>
      <c r="J219" s="21" t="n"/>
    </row>
    <row r="220">
      <c r="D220" s="21" t="n"/>
      <c r="E220" s="21" t="n"/>
      <c r="F220" s="21" t="n"/>
      <c r="G220" s="21" t="n"/>
      <c r="H220" s="21" t="n"/>
      <c r="I220" s="21" t="n"/>
      <c r="J220" s="21" t="n"/>
    </row>
    <row r="221">
      <c r="D221" s="21" t="n"/>
      <c r="E221" s="21" t="n"/>
      <c r="F221" s="21" t="n"/>
      <c r="G221" s="21" t="n"/>
      <c r="H221" s="21" t="n"/>
      <c r="I221" s="21" t="n"/>
      <c r="J221" s="21" t="n"/>
    </row>
    <row r="222">
      <c r="D222" s="21" t="n"/>
      <c r="E222" s="21" t="n"/>
      <c r="F222" s="21" t="n"/>
      <c r="G222" s="21" t="n"/>
      <c r="H222" s="21" t="n"/>
      <c r="I222" s="21" t="n"/>
      <c r="J222" s="21" t="n"/>
    </row>
    <row r="223">
      <c r="D223" s="21" t="n"/>
      <c r="E223" s="21" t="n"/>
      <c r="F223" s="21" t="n"/>
      <c r="G223" s="21" t="n"/>
      <c r="H223" s="21" t="n"/>
      <c r="I223" s="21" t="n"/>
      <c r="J223" s="21" t="n"/>
    </row>
    <row r="224">
      <c r="D224" s="21" t="n"/>
      <c r="E224" s="21" t="n"/>
      <c r="F224" s="21" t="n"/>
      <c r="G224" s="21" t="n"/>
      <c r="H224" s="21" t="n"/>
      <c r="I224" s="21" t="n"/>
      <c r="J224" s="21" t="n"/>
    </row>
    <row r="225">
      <c r="D225" s="21" t="n"/>
      <c r="E225" s="21" t="n"/>
      <c r="F225" s="21" t="n"/>
      <c r="G225" s="21" t="n"/>
      <c r="H225" s="21" t="n"/>
      <c r="I225" s="21" t="n"/>
      <c r="J225" s="21" t="n"/>
    </row>
    <row r="226">
      <c r="D226" s="21" t="n"/>
      <c r="E226" s="21" t="n"/>
      <c r="F226" s="21" t="n"/>
      <c r="G226" s="21" t="n"/>
      <c r="H226" s="21" t="n"/>
      <c r="I226" s="21" t="n"/>
      <c r="J226" s="21" t="n"/>
    </row>
    <row r="227">
      <c r="D227" s="21" t="n"/>
      <c r="E227" s="21" t="n"/>
      <c r="F227" s="21" t="n"/>
      <c r="G227" s="21" t="n"/>
      <c r="H227" s="21" t="n"/>
      <c r="I227" s="21" t="n"/>
      <c r="J227" s="21" t="n"/>
    </row>
    <row r="228">
      <c r="D228" s="21" t="n"/>
      <c r="E228" s="21" t="n"/>
      <c r="F228" s="21" t="n"/>
      <c r="G228" s="21" t="n"/>
      <c r="H228" s="21" t="n"/>
      <c r="I228" s="21" t="n"/>
      <c r="J228" s="21" t="n"/>
    </row>
    <row r="229">
      <c r="D229" s="21" t="n"/>
      <c r="E229" s="21" t="n"/>
      <c r="F229" s="21" t="n"/>
      <c r="G229" s="21" t="n"/>
      <c r="H229" s="21" t="n"/>
      <c r="I229" s="21" t="n"/>
      <c r="J229" s="21" t="n"/>
    </row>
    <row r="230">
      <c r="D230" s="21" t="n"/>
      <c r="E230" s="21" t="n"/>
      <c r="F230" s="21" t="n"/>
      <c r="G230" s="21" t="n"/>
      <c r="H230" s="21" t="n"/>
      <c r="I230" s="21" t="n"/>
      <c r="J230" s="21" t="n"/>
    </row>
    <row r="231">
      <c r="D231" s="21" t="n"/>
      <c r="E231" s="21" t="n"/>
      <c r="F231" s="21" t="n"/>
      <c r="G231" s="21" t="n"/>
      <c r="H231" s="21" t="n"/>
      <c r="I231" s="21" t="n"/>
      <c r="J231" s="21" t="n"/>
    </row>
    <row r="232">
      <c r="D232" s="21" t="n"/>
      <c r="E232" s="21" t="n"/>
      <c r="F232" s="21" t="n"/>
      <c r="G232" s="21" t="n"/>
      <c r="H232" s="21" t="n"/>
      <c r="I232" s="21" t="n"/>
      <c r="J232" s="21" t="n"/>
    </row>
    <row r="233">
      <c r="D233" s="21" t="n"/>
      <c r="E233" s="21" t="n"/>
      <c r="F233" s="21" t="n"/>
      <c r="G233" s="21" t="n"/>
      <c r="H233" s="21" t="n"/>
      <c r="I233" s="21" t="n"/>
      <c r="J233" s="21" t="n"/>
    </row>
    <row r="234">
      <c r="D234" s="21" t="n"/>
      <c r="E234" s="21" t="n"/>
      <c r="F234" s="21" t="n"/>
      <c r="G234" s="21" t="n"/>
      <c r="H234" s="21" t="n"/>
      <c r="I234" s="21" t="n"/>
      <c r="J234" s="21" t="n"/>
    </row>
    <row r="235">
      <c r="D235" s="21" t="n"/>
      <c r="E235" s="21" t="n"/>
      <c r="F235" s="21" t="n"/>
      <c r="G235" s="21" t="n"/>
      <c r="H235" s="21" t="n"/>
      <c r="I235" s="21" t="n"/>
      <c r="J235" s="21" t="n"/>
    </row>
    <row r="236">
      <c r="D236" s="21" t="n"/>
      <c r="E236" s="21" t="n"/>
      <c r="F236" s="21" t="n"/>
      <c r="G236" s="21" t="n"/>
      <c r="H236" s="21" t="n"/>
      <c r="I236" s="21" t="n"/>
      <c r="J236" s="21" t="n"/>
    </row>
    <row r="237">
      <c r="D237" s="21" t="n"/>
      <c r="E237" s="21" t="n"/>
      <c r="F237" s="21" t="n"/>
      <c r="G237" s="21" t="n"/>
      <c r="H237" s="21" t="n"/>
      <c r="I237" s="21" t="n"/>
      <c r="J237" s="21" t="n"/>
    </row>
    <row r="238">
      <c r="D238" s="21" t="n"/>
      <c r="E238" s="21" t="n"/>
      <c r="F238" s="21" t="n"/>
      <c r="G238" s="21" t="n"/>
      <c r="H238" s="21" t="n"/>
      <c r="I238" s="21" t="n"/>
      <c r="J238" s="21" t="n"/>
    </row>
    <row r="239">
      <c r="D239" s="21" t="n"/>
      <c r="E239" s="21" t="n"/>
      <c r="F239" s="21" t="n"/>
      <c r="G239" s="21" t="n"/>
      <c r="H239" s="21" t="n"/>
      <c r="I239" s="21" t="n"/>
      <c r="J239" s="21" t="n"/>
    </row>
    <row r="240">
      <c r="D240" s="21" t="n"/>
      <c r="E240" s="21" t="n"/>
      <c r="F240" s="21" t="n"/>
      <c r="G240" s="21" t="n"/>
      <c r="H240" s="21" t="n"/>
      <c r="I240" s="21" t="n"/>
      <c r="J240" s="21" t="n"/>
    </row>
    <row r="241">
      <c r="D241" s="21" t="n"/>
      <c r="E241" s="21" t="n"/>
      <c r="F241" s="21" t="n"/>
      <c r="G241" s="21" t="n"/>
      <c r="H241" s="21" t="n"/>
      <c r="I241" s="21" t="n"/>
      <c r="J241" s="21" t="n"/>
    </row>
    <row r="242">
      <c r="D242" s="21" t="n"/>
      <c r="E242" s="21" t="n"/>
      <c r="F242" s="21" t="n"/>
      <c r="G242" s="21" t="n"/>
      <c r="H242" s="21" t="n"/>
      <c r="I242" s="21" t="n"/>
      <c r="J242" s="21" t="n"/>
    </row>
    <row r="243">
      <c r="D243" s="21" t="n"/>
      <c r="E243" s="21" t="n"/>
      <c r="F243" s="21" t="n"/>
      <c r="G243" s="21" t="n"/>
      <c r="H243" s="21" t="n"/>
      <c r="I243" s="21" t="n"/>
      <c r="J243" s="21" t="n"/>
    </row>
    <row r="244">
      <c r="D244" s="21" t="n"/>
      <c r="E244" s="21" t="n"/>
      <c r="F244" s="21" t="n"/>
      <c r="G244" s="21" t="n"/>
      <c r="H244" s="21" t="n"/>
      <c r="I244" s="21" t="n"/>
      <c r="J244" s="21" t="n"/>
    </row>
    <row r="245">
      <c r="D245" s="21" t="n"/>
      <c r="E245" s="21" t="n"/>
      <c r="F245" s="21" t="n"/>
      <c r="G245" s="21" t="n"/>
      <c r="H245" s="21" t="n"/>
      <c r="I245" s="21" t="n"/>
      <c r="J245" s="21" t="n"/>
    </row>
    <row r="246">
      <c r="D246" s="21" t="n"/>
      <c r="E246" s="21" t="n"/>
      <c r="F246" s="21" t="n"/>
      <c r="G246" s="21" t="n"/>
      <c r="H246" s="21" t="n"/>
      <c r="I246" s="21" t="n"/>
      <c r="J246" s="21" t="n"/>
    </row>
    <row r="247">
      <c r="D247" s="21" t="n"/>
      <c r="E247" s="21" t="n"/>
      <c r="F247" s="21" t="n"/>
      <c r="G247" s="21" t="n"/>
      <c r="H247" s="21" t="n"/>
      <c r="I247" s="21" t="n"/>
      <c r="J247" s="21" t="n"/>
    </row>
    <row r="248">
      <c r="D248" s="21" t="n"/>
      <c r="E248" s="21" t="n"/>
      <c r="F248" s="21" t="n"/>
      <c r="G248" s="21" t="n"/>
      <c r="H248" s="21" t="n"/>
      <c r="I248" s="21" t="n"/>
      <c r="J248" s="21" t="n"/>
    </row>
    <row r="249">
      <c r="D249" s="21" t="n"/>
      <c r="E249" s="21" t="n"/>
      <c r="F249" s="21" t="n"/>
      <c r="G249" s="21" t="n"/>
      <c r="H249" s="21" t="n"/>
      <c r="I249" s="21" t="n"/>
      <c r="J249" s="21" t="n"/>
    </row>
    <row r="250">
      <c r="D250" s="21" t="n"/>
      <c r="E250" s="21" t="n"/>
      <c r="F250" s="21" t="n"/>
      <c r="G250" s="21" t="n"/>
      <c r="H250" s="21" t="n"/>
      <c r="I250" s="21" t="n"/>
      <c r="J250" s="21" t="n"/>
    </row>
    <row r="251">
      <c r="D251" s="21" t="n"/>
      <c r="E251" s="21" t="n"/>
      <c r="F251" s="21" t="n"/>
      <c r="G251" s="21" t="n"/>
      <c r="H251" s="21" t="n"/>
      <c r="I251" s="21" t="n"/>
      <c r="J251" s="21" t="n"/>
    </row>
    <row r="252">
      <c r="D252" s="21" t="n"/>
      <c r="E252" s="21" t="n"/>
      <c r="F252" s="21" t="n"/>
      <c r="G252" s="21" t="n"/>
      <c r="H252" s="21" t="n"/>
      <c r="I252" s="21" t="n"/>
      <c r="J252" s="21" t="n"/>
    </row>
    <row r="253">
      <c r="D253" s="21" t="n"/>
      <c r="E253" s="21" t="n"/>
      <c r="F253" s="21" t="n"/>
      <c r="G253" s="21" t="n"/>
      <c r="H253" s="21" t="n"/>
      <c r="I253" s="21" t="n"/>
      <c r="J253" s="21" t="n"/>
    </row>
    <row r="254">
      <c r="D254" s="21" t="n"/>
      <c r="E254" s="21" t="n"/>
      <c r="F254" s="21" t="n"/>
      <c r="G254" s="21" t="n"/>
      <c r="H254" s="21" t="n"/>
      <c r="I254" s="21" t="n"/>
      <c r="J254" s="21" t="n"/>
    </row>
    <row r="255">
      <c r="D255" s="21" t="n"/>
      <c r="E255" s="21" t="n"/>
      <c r="F255" s="21" t="n"/>
      <c r="G255" s="21" t="n"/>
      <c r="H255" s="21" t="n"/>
      <c r="I255" s="21" t="n"/>
      <c r="J255" s="21" t="n"/>
    </row>
    <row r="256">
      <c r="D256" s="21" t="n"/>
      <c r="E256" s="21" t="n"/>
      <c r="F256" s="21" t="n"/>
      <c r="G256" s="21" t="n"/>
      <c r="H256" s="21" t="n"/>
      <c r="I256" s="21" t="n"/>
      <c r="J256" s="21" t="n"/>
    </row>
    <row r="257">
      <c r="D257" s="21" t="n"/>
      <c r="E257" s="21" t="n"/>
      <c r="F257" s="21" t="n"/>
      <c r="G257" s="21" t="n"/>
      <c r="H257" s="21" t="n"/>
      <c r="I257" s="21" t="n"/>
      <c r="J257" s="21" t="n"/>
    </row>
    <row r="258">
      <c r="D258" s="21" t="n"/>
      <c r="E258" s="21" t="n"/>
      <c r="F258" s="21" t="n"/>
      <c r="G258" s="21" t="n"/>
      <c r="H258" s="21" t="n"/>
      <c r="I258" s="21" t="n"/>
      <c r="J258" s="21" t="n"/>
    </row>
    <row r="259">
      <c r="D259" s="21" t="n"/>
      <c r="E259" s="21" t="n"/>
      <c r="F259" s="21" t="n"/>
      <c r="G259" s="21" t="n"/>
      <c r="H259" s="21" t="n"/>
      <c r="I259" s="21" t="n"/>
      <c r="J259" s="21" t="n"/>
    </row>
    <row r="260">
      <c r="D260" s="21" t="n"/>
      <c r="E260" s="21" t="n"/>
      <c r="F260" s="21" t="n"/>
      <c r="G260" s="21" t="n"/>
      <c r="H260" s="21" t="n"/>
      <c r="I260" s="21" t="n"/>
      <c r="J260" s="21" t="n"/>
    </row>
    <row r="261">
      <c r="D261" s="21" t="n"/>
      <c r="E261" s="21" t="n"/>
      <c r="F261" s="21" t="n"/>
      <c r="G261" s="21" t="n"/>
      <c r="H261" s="21" t="n"/>
      <c r="I261" s="21" t="n"/>
      <c r="J261" s="21" t="n"/>
    </row>
    <row r="262">
      <c r="D262" s="21" t="n"/>
      <c r="E262" s="21" t="n"/>
      <c r="F262" s="21" t="n"/>
      <c r="G262" s="21" t="n"/>
      <c r="H262" s="21" t="n"/>
      <c r="I262" s="21" t="n"/>
      <c r="J262" s="21" t="n"/>
    </row>
    <row r="263">
      <c r="D263" s="21" t="n"/>
      <c r="E263" s="21" t="n"/>
      <c r="F263" s="21" t="n"/>
      <c r="G263" s="21" t="n"/>
      <c r="H263" s="21" t="n"/>
      <c r="I263" s="21" t="n"/>
      <c r="J263" s="21" t="n"/>
    </row>
    <row r="264">
      <c r="D264" s="21" t="n"/>
      <c r="E264" s="21" t="n"/>
      <c r="F264" s="21" t="n"/>
      <c r="G264" s="21" t="n"/>
      <c r="H264" s="21" t="n"/>
      <c r="I264" s="21" t="n"/>
      <c r="J264" s="21" t="n"/>
    </row>
    <row r="265">
      <c r="D265" s="21" t="n"/>
      <c r="E265" s="21" t="n"/>
      <c r="F265" s="21" t="n"/>
      <c r="G265" s="21" t="n"/>
      <c r="H265" s="21" t="n"/>
      <c r="I265" s="21" t="n"/>
      <c r="J265" s="21" t="n"/>
    </row>
    <row r="266">
      <c r="D266" s="21" t="n"/>
      <c r="E266" s="21" t="n"/>
      <c r="F266" s="21" t="n"/>
      <c r="G266" s="21" t="n"/>
      <c r="H266" s="21" t="n"/>
      <c r="I266" s="21" t="n"/>
      <c r="J266" s="21" t="n"/>
    </row>
    <row r="267">
      <c r="D267" s="21" t="n"/>
      <c r="E267" s="21" t="n"/>
      <c r="F267" s="21" t="n"/>
      <c r="G267" s="21" t="n"/>
      <c r="H267" s="21" t="n"/>
      <c r="I267" s="21" t="n"/>
      <c r="J267" s="21" t="n"/>
    </row>
    <row r="268">
      <c r="D268" s="21" t="n"/>
      <c r="E268" s="21" t="n"/>
      <c r="F268" s="21" t="n"/>
      <c r="G268" s="21" t="n"/>
      <c r="H268" s="21" t="n"/>
      <c r="I268" s="21" t="n"/>
      <c r="J268" s="21" t="n"/>
    </row>
    <row r="269">
      <c r="D269" s="21" t="n"/>
      <c r="E269" s="21" t="n"/>
      <c r="F269" s="21" t="n"/>
      <c r="G269" s="21" t="n"/>
      <c r="H269" s="21" t="n"/>
      <c r="I269" s="21" t="n"/>
      <c r="J269" s="21" t="n"/>
    </row>
    <row r="270">
      <c r="D270" s="21" t="n"/>
      <c r="E270" s="21" t="n"/>
      <c r="F270" s="21" t="n"/>
      <c r="G270" s="21" t="n"/>
      <c r="H270" s="21" t="n"/>
      <c r="I270" s="21" t="n"/>
      <c r="J270" s="21" t="n"/>
    </row>
    <row r="271">
      <c r="D271" s="21" t="n"/>
      <c r="E271" s="21" t="n"/>
      <c r="F271" s="21" t="n"/>
      <c r="G271" s="21" t="n"/>
      <c r="H271" s="21" t="n"/>
      <c r="I271" s="21" t="n"/>
      <c r="J271" s="21" t="n"/>
    </row>
    <row r="272">
      <c r="D272" s="21" t="n"/>
      <c r="E272" s="21" t="n"/>
      <c r="F272" s="21" t="n"/>
      <c r="G272" s="21" t="n"/>
      <c r="H272" s="21" t="n"/>
      <c r="I272" s="21" t="n"/>
      <c r="J272" s="21" t="n"/>
    </row>
    <row r="273">
      <c r="D273" s="21" t="n"/>
      <c r="E273" s="21" t="n"/>
      <c r="F273" s="21" t="n"/>
      <c r="G273" s="21" t="n"/>
      <c r="H273" s="21" t="n"/>
      <c r="I273" s="21" t="n"/>
      <c r="J273" s="21" t="n"/>
    </row>
    <row r="274">
      <c r="D274" s="21" t="n"/>
      <c r="E274" s="21" t="n"/>
      <c r="F274" s="21" t="n"/>
      <c r="G274" s="21" t="n"/>
      <c r="H274" s="21" t="n"/>
      <c r="I274" s="21" t="n"/>
      <c r="J274" s="21" t="n"/>
    </row>
    <row r="275">
      <c r="D275" s="21" t="n"/>
      <c r="E275" s="21" t="n"/>
      <c r="F275" s="21" t="n"/>
      <c r="G275" s="21" t="n"/>
      <c r="H275" s="21" t="n"/>
      <c r="I275" s="21" t="n"/>
      <c r="J275" s="21" t="n"/>
    </row>
    <row r="276">
      <c r="D276" s="21" t="n"/>
      <c r="E276" s="21" t="n"/>
      <c r="F276" s="21" t="n"/>
      <c r="G276" s="21" t="n"/>
      <c r="H276" s="21" t="n"/>
      <c r="I276" s="21" t="n"/>
      <c r="J276" s="21" t="n"/>
    </row>
    <row r="277">
      <c r="D277" s="21" t="n"/>
      <c r="E277" s="21" t="n"/>
      <c r="F277" s="21" t="n"/>
      <c r="G277" s="21" t="n"/>
      <c r="H277" s="21" t="n"/>
      <c r="I277" s="21" t="n"/>
      <c r="J277" s="21" t="n"/>
    </row>
    <row r="278">
      <c r="D278" s="21" t="n"/>
      <c r="E278" s="21" t="n"/>
      <c r="F278" s="21" t="n"/>
      <c r="G278" s="21" t="n"/>
      <c r="H278" s="21" t="n"/>
      <c r="I278" s="21" t="n"/>
      <c r="J278" s="21" t="n"/>
    </row>
    <row r="279">
      <c r="D279" s="21" t="n"/>
      <c r="E279" s="21" t="n"/>
      <c r="F279" s="21" t="n"/>
      <c r="G279" s="21" t="n"/>
      <c r="H279" s="21" t="n"/>
      <c r="I279" s="21" t="n"/>
      <c r="J279" s="21" t="n"/>
    </row>
    <row r="280">
      <c r="D280" s="21" t="n"/>
      <c r="E280" s="21" t="n"/>
      <c r="F280" s="21" t="n"/>
      <c r="G280" s="21" t="n"/>
      <c r="H280" s="21" t="n"/>
      <c r="I280" s="21" t="n"/>
      <c r="J280" s="21" t="n"/>
    </row>
    <row r="281">
      <c r="D281" s="21" t="n"/>
      <c r="E281" s="21" t="n"/>
      <c r="F281" s="21" t="n"/>
      <c r="G281" s="21" t="n"/>
      <c r="H281" s="21" t="n"/>
      <c r="I281" s="21" t="n"/>
      <c r="J281" s="21" t="n"/>
    </row>
    <row r="282">
      <c r="D282" s="21" t="n"/>
      <c r="E282" s="21" t="n"/>
      <c r="F282" s="21" t="n"/>
      <c r="G282" s="21" t="n"/>
      <c r="H282" s="21" t="n"/>
      <c r="I282" s="21" t="n"/>
      <c r="J282" s="21" t="n"/>
    </row>
    <row r="283">
      <c r="D283" s="21" t="n"/>
      <c r="E283" s="21" t="n"/>
      <c r="F283" s="21" t="n"/>
      <c r="G283" s="21" t="n"/>
      <c r="H283" s="21" t="n"/>
      <c r="I283" s="21" t="n"/>
      <c r="J283" s="21" t="n"/>
    </row>
    <row r="284">
      <c r="D284" s="21" t="n"/>
      <c r="E284" s="21" t="n"/>
      <c r="F284" s="21" t="n"/>
      <c r="G284" s="21" t="n"/>
      <c r="H284" s="21" t="n"/>
      <c r="I284" s="21" t="n"/>
      <c r="J284" s="21" t="n"/>
    </row>
    <row r="285">
      <c r="D285" s="21" t="n"/>
      <c r="E285" s="21" t="n"/>
      <c r="F285" s="21" t="n"/>
      <c r="G285" s="21" t="n"/>
      <c r="H285" s="21" t="n"/>
      <c r="I285" s="21" t="n"/>
      <c r="J285" s="21" t="n"/>
    </row>
    <row r="286">
      <c r="D286" s="21" t="n"/>
      <c r="E286" s="21" t="n"/>
      <c r="F286" s="21" t="n"/>
      <c r="G286" s="21" t="n"/>
      <c r="H286" s="21" t="n"/>
      <c r="I286" s="21" t="n"/>
      <c r="J286" s="21" t="n"/>
    </row>
    <row r="287">
      <c r="D287" s="21" t="n"/>
      <c r="E287" s="21" t="n"/>
      <c r="F287" s="21" t="n"/>
      <c r="G287" s="21" t="n"/>
      <c r="H287" s="21" t="n"/>
      <c r="I287" s="21" t="n"/>
      <c r="J287" s="21" t="n"/>
    </row>
    <row r="288">
      <c r="D288" s="21" t="n"/>
      <c r="E288" s="21" t="n"/>
      <c r="F288" s="21" t="n"/>
      <c r="G288" s="21" t="n"/>
      <c r="H288" s="21" t="n"/>
      <c r="I288" s="21" t="n"/>
      <c r="J288" s="21" t="n"/>
    </row>
    <row r="289">
      <c r="D289" s="21" t="n"/>
      <c r="E289" s="21" t="n"/>
      <c r="F289" s="21" t="n"/>
      <c r="G289" s="21" t="n"/>
      <c r="H289" s="21" t="n"/>
      <c r="I289" s="21" t="n"/>
      <c r="J289" s="21" t="n"/>
    </row>
    <row r="290">
      <c r="D290" s="21" t="n"/>
      <c r="E290" s="21" t="n"/>
      <c r="F290" s="21" t="n"/>
      <c r="G290" s="21" t="n"/>
      <c r="H290" s="21" t="n"/>
      <c r="I290" s="21" t="n"/>
      <c r="J290" s="21" t="n"/>
    </row>
    <row r="291">
      <c r="D291" s="21" t="n"/>
      <c r="E291" s="21" t="n"/>
      <c r="F291" s="21" t="n"/>
      <c r="G291" s="21" t="n"/>
      <c r="H291" s="21" t="n"/>
      <c r="I291" s="21" t="n"/>
      <c r="J291" s="21" t="n"/>
    </row>
    <row r="292">
      <c r="D292" s="21" t="n"/>
      <c r="E292" s="21" t="n"/>
      <c r="F292" s="21" t="n"/>
      <c r="G292" s="21" t="n"/>
      <c r="H292" s="21" t="n"/>
      <c r="I292" s="21" t="n"/>
      <c r="J292" s="21" t="n"/>
    </row>
    <row r="293">
      <c r="D293" s="21" t="n"/>
      <c r="E293" s="21" t="n"/>
      <c r="F293" s="21" t="n"/>
      <c r="G293" s="21" t="n"/>
      <c r="H293" s="21" t="n"/>
      <c r="I293" s="21" t="n"/>
      <c r="J293" s="21" t="n"/>
    </row>
    <row r="294">
      <c r="D294" s="21" t="n"/>
      <c r="E294" s="21" t="n"/>
      <c r="F294" s="21" t="n"/>
      <c r="G294" s="21" t="n"/>
      <c r="H294" s="21" t="n"/>
      <c r="I294" s="21" t="n"/>
      <c r="J294" s="21" t="n"/>
    </row>
    <row r="295">
      <c r="D295" s="21" t="n"/>
      <c r="E295" s="21" t="n"/>
      <c r="F295" s="21" t="n"/>
      <c r="G295" s="21" t="n"/>
      <c r="H295" s="21" t="n"/>
      <c r="I295" s="21" t="n"/>
      <c r="J295" s="21" t="n"/>
    </row>
    <row r="296">
      <c r="D296" s="21" t="n"/>
      <c r="E296" s="21" t="n"/>
      <c r="F296" s="21" t="n"/>
      <c r="G296" s="21" t="n"/>
      <c r="H296" s="21" t="n"/>
      <c r="I296" s="21" t="n"/>
      <c r="J296" s="21" t="n"/>
    </row>
    <row r="297">
      <c r="D297" s="21" t="n"/>
      <c r="E297" s="21" t="n"/>
      <c r="F297" s="21" t="n"/>
      <c r="G297" s="21" t="n"/>
      <c r="H297" s="21" t="n"/>
      <c r="I297" s="21" t="n"/>
      <c r="J297" s="21" t="n"/>
    </row>
    <row r="298">
      <c r="D298" s="21" t="n"/>
      <c r="E298" s="21" t="n"/>
      <c r="F298" s="21" t="n"/>
      <c r="G298" s="21" t="n"/>
      <c r="H298" s="21" t="n"/>
      <c r="I298" s="21" t="n"/>
      <c r="J298" s="21" t="n"/>
    </row>
    <row r="299">
      <c r="D299" s="21" t="n"/>
      <c r="E299" s="21" t="n"/>
      <c r="F299" s="21" t="n"/>
      <c r="G299" s="21" t="n"/>
      <c r="H299" s="21" t="n"/>
      <c r="I299" s="21" t="n"/>
      <c r="J299" s="21" t="n"/>
    </row>
    <row r="300">
      <c r="D300" s="21" t="n"/>
      <c r="E300" s="21" t="n"/>
      <c r="F300" s="21" t="n"/>
      <c r="G300" s="21" t="n"/>
      <c r="H300" s="21" t="n"/>
      <c r="I300" s="21" t="n"/>
      <c r="J300" s="21" t="n"/>
    </row>
    <row r="301">
      <c r="D301" s="21" t="n"/>
      <c r="E301" s="21" t="n"/>
      <c r="F301" s="21" t="n"/>
      <c r="G301" s="21" t="n"/>
      <c r="H301" s="21" t="n"/>
      <c r="I301" s="21" t="n"/>
      <c r="J301" s="21" t="n"/>
    </row>
    <row r="302">
      <c r="D302" s="21" t="n"/>
      <c r="E302" s="21" t="n"/>
      <c r="F302" s="21" t="n"/>
      <c r="G302" s="21" t="n"/>
      <c r="H302" s="21" t="n"/>
      <c r="I302" s="21" t="n"/>
      <c r="J302" s="21" t="n"/>
    </row>
    <row r="303">
      <c r="D303" s="21" t="n"/>
      <c r="E303" s="21" t="n"/>
      <c r="F303" s="21" t="n"/>
      <c r="G303" s="21" t="n"/>
      <c r="H303" s="21" t="n"/>
      <c r="I303" s="21" t="n"/>
      <c r="J303" s="21" t="n"/>
    </row>
    <row r="304">
      <c r="D304" s="21" t="n"/>
      <c r="E304" s="21" t="n"/>
      <c r="F304" s="21" t="n"/>
      <c r="G304" s="21" t="n"/>
      <c r="H304" s="21" t="n"/>
      <c r="I304" s="21" t="n"/>
      <c r="J304" s="21" t="n"/>
    </row>
    <row r="305">
      <c r="D305" s="21" t="n"/>
      <c r="E305" s="21" t="n"/>
      <c r="F305" s="21" t="n"/>
      <c r="G305" s="21" t="n"/>
      <c r="H305" s="21" t="n"/>
      <c r="I305" s="21" t="n"/>
      <c r="J305" s="21" t="n"/>
    </row>
    <row r="306">
      <c r="D306" s="21" t="n"/>
      <c r="E306" s="21" t="n"/>
      <c r="F306" s="21" t="n"/>
      <c r="G306" s="21" t="n"/>
      <c r="H306" s="21" t="n"/>
      <c r="I306" s="21" t="n"/>
      <c r="J306" s="21" t="n"/>
    </row>
    <row r="307">
      <c r="D307" s="21" t="n"/>
      <c r="E307" s="21" t="n"/>
      <c r="F307" s="21" t="n"/>
      <c r="G307" s="21" t="n"/>
      <c r="H307" s="21" t="n"/>
      <c r="I307" s="21" t="n"/>
      <c r="J307" s="21" t="n"/>
    </row>
    <row r="308">
      <c r="D308" s="21" t="n"/>
      <c r="E308" s="21" t="n"/>
      <c r="F308" s="21" t="n"/>
      <c r="G308" s="21" t="n"/>
      <c r="H308" s="21" t="n"/>
      <c r="I308" s="21" t="n"/>
      <c r="J308" s="21" t="n"/>
    </row>
    <row r="309">
      <c r="D309" s="21" t="n"/>
      <c r="E309" s="21" t="n"/>
      <c r="F309" s="21" t="n"/>
      <c r="G309" s="21" t="n"/>
      <c r="H309" s="21" t="n"/>
      <c r="I309" s="21" t="n"/>
      <c r="J309" s="21" t="n"/>
    </row>
    <row r="310">
      <c r="D310" s="21" t="n"/>
      <c r="E310" s="21" t="n"/>
      <c r="F310" s="21" t="n"/>
      <c r="G310" s="21" t="n"/>
      <c r="H310" s="21" t="n"/>
      <c r="I310" s="21" t="n"/>
      <c r="J310" s="21" t="n"/>
    </row>
    <row r="311">
      <c r="D311" s="21" t="n"/>
      <c r="E311" s="21" t="n"/>
      <c r="F311" s="21" t="n"/>
      <c r="G311" s="21" t="n"/>
      <c r="H311" s="21" t="n"/>
      <c r="I311" s="21" t="n"/>
      <c r="J311" s="21" t="n"/>
    </row>
    <row r="312">
      <c r="D312" s="21" t="n"/>
      <c r="E312" s="21" t="n"/>
      <c r="F312" s="21" t="n"/>
      <c r="G312" s="21" t="n"/>
      <c r="H312" s="21" t="n"/>
      <c r="I312" s="21" t="n"/>
      <c r="J312" s="21" t="n"/>
    </row>
    <row r="313">
      <c r="D313" s="21" t="n"/>
      <c r="E313" s="21" t="n"/>
      <c r="F313" s="21" t="n"/>
      <c r="G313" s="21" t="n"/>
      <c r="H313" s="21" t="n"/>
      <c r="I313" s="21" t="n"/>
      <c r="J313" s="21" t="n"/>
    </row>
    <row r="314">
      <c r="D314" s="21" t="n"/>
      <c r="E314" s="21" t="n"/>
      <c r="F314" s="21" t="n"/>
      <c r="G314" s="21" t="n"/>
      <c r="H314" s="21" t="n"/>
      <c r="I314" s="21" t="n"/>
      <c r="J314" s="21" t="n"/>
    </row>
    <row r="315">
      <c r="D315" s="21" t="n"/>
      <c r="E315" s="21" t="n"/>
      <c r="F315" s="21" t="n"/>
      <c r="G315" s="21" t="n"/>
      <c r="H315" s="21" t="n"/>
      <c r="I315" s="21" t="n"/>
      <c r="J315" s="21" t="n"/>
    </row>
    <row r="316">
      <c r="D316" s="21" t="n"/>
      <c r="E316" s="21" t="n"/>
      <c r="F316" s="21" t="n"/>
      <c r="G316" s="21" t="n"/>
      <c r="H316" s="21" t="n"/>
      <c r="I316" s="21" t="n"/>
      <c r="J316" s="21" t="n"/>
    </row>
    <row r="317">
      <c r="D317" s="21" t="n"/>
      <c r="E317" s="21" t="n"/>
      <c r="F317" s="21" t="n"/>
      <c r="G317" s="21" t="n"/>
      <c r="H317" s="21" t="n"/>
      <c r="I317" s="21" t="n"/>
      <c r="J317" s="21" t="n"/>
    </row>
    <row r="318">
      <c r="D318" s="21" t="n"/>
      <c r="E318" s="21" t="n"/>
      <c r="F318" s="21" t="n"/>
      <c r="G318" s="21" t="n"/>
      <c r="H318" s="21" t="n"/>
      <c r="I318" s="21" t="n"/>
      <c r="J318" s="21" t="n"/>
    </row>
    <row r="319">
      <c r="D319" s="21" t="n"/>
      <c r="E319" s="21" t="n"/>
      <c r="F319" s="21" t="n"/>
      <c r="G319" s="21" t="n"/>
      <c r="H319" s="21" t="n"/>
      <c r="I319" s="21" t="n"/>
      <c r="J319" s="21" t="n"/>
    </row>
    <row r="320">
      <c r="D320" s="21" t="n"/>
      <c r="E320" s="21" t="n"/>
      <c r="F320" s="21" t="n"/>
      <c r="G320" s="21" t="n"/>
      <c r="H320" s="21" t="n"/>
      <c r="I320" s="21" t="n"/>
      <c r="J320" s="21" t="n"/>
    </row>
    <row r="321">
      <c r="D321" s="21" t="n"/>
      <c r="E321" s="21" t="n"/>
      <c r="F321" s="21" t="n"/>
      <c r="G321" s="21" t="n"/>
      <c r="H321" s="21" t="n"/>
      <c r="I321" s="21" t="n"/>
      <c r="J321" s="21" t="n"/>
    </row>
    <row r="322">
      <c r="D322" s="21" t="n"/>
      <c r="E322" s="21" t="n"/>
      <c r="F322" s="21" t="n"/>
      <c r="G322" s="21" t="n"/>
      <c r="H322" s="21" t="n"/>
      <c r="I322" s="21" t="n"/>
      <c r="J322" s="21" t="n"/>
    </row>
    <row r="323">
      <c r="D323" s="21" t="n"/>
      <c r="E323" s="21" t="n"/>
      <c r="F323" s="21" t="n"/>
      <c r="G323" s="21" t="n"/>
      <c r="H323" s="21" t="n"/>
      <c r="I323" s="21" t="n"/>
      <c r="J323" s="21" t="n"/>
    </row>
    <row r="324">
      <c r="D324" s="21" t="n"/>
      <c r="E324" s="21" t="n"/>
      <c r="F324" s="21" t="n"/>
      <c r="G324" s="21" t="n"/>
      <c r="H324" s="21" t="n"/>
      <c r="I324" s="21" t="n"/>
      <c r="J324" s="21" t="n"/>
    </row>
    <row r="325">
      <c r="D325" s="21" t="n"/>
      <c r="E325" s="21" t="n"/>
      <c r="F325" s="21" t="n"/>
      <c r="G325" s="21" t="n"/>
      <c r="H325" s="21" t="n"/>
      <c r="I325" s="21" t="n"/>
      <c r="J325" s="21" t="n"/>
    </row>
    <row r="326">
      <c r="D326" s="21" t="n"/>
      <c r="E326" s="21" t="n"/>
      <c r="F326" s="21" t="n"/>
      <c r="G326" s="21" t="n"/>
      <c r="H326" s="21" t="n"/>
      <c r="I326" s="21" t="n"/>
      <c r="J326" s="21" t="n"/>
    </row>
    <row r="327">
      <c r="D327" s="21" t="n"/>
      <c r="E327" s="21" t="n"/>
      <c r="F327" s="21" t="n"/>
      <c r="G327" s="21" t="n"/>
      <c r="H327" s="21" t="n"/>
      <c r="I327" s="21" t="n"/>
      <c r="J327" s="21" t="n"/>
    </row>
    <row r="328">
      <c r="D328" s="21" t="n"/>
      <c r="E328" s="21" t="n"/>
      <c r="F328" s="21" t="n"/>
      <c r="G328" s="21" t="n"/>
      <c r="H328" s="21" t="n"/>
      <c r="I328" s="21" t="n"/>
      <c r="J328" s="21" t="n"/>
    </row>
    <row r="329">
      <c r="D329" s="21" t="n"/>
      <c r="E329" s="21" t="n"/>
      <c r="F329" s="21" t="n"/>
      <c r="G329" s="21" t="n"/>
      <c r="H329" s="21" t="n"/>
      <c r="I329" s="21" t="n"/>
      <c r="J329" s="21" t="n"/>
    </row>
    <row r="330">
      <c r="D330" s="21" t="n"/>
      <c r="E330" s="21" t="n"/>
      <c r="F330" s="21" t="n"/>
      <c r="G330" s="21" t="n"/>
      <c r="H330" s="21" t="n"/>
      <c r="I330" s="21" t="n"/>
      <c r="J330" s="21" t="n"/>
    </row>
    <row r="331">
      <c r="D331" s="21" t="n"/>
      <c r="E331" s="21" t="n"/>
      <c r="F331" s="21" t="n"/>
      <c r="G331" s="21" t="n"/>
      <c r="H331" s="21" t="n"/>
      <c r="I331" s="21" t="n"/>
      <c r="J331" s="21" t="n"/>
    </row>
    <row r="332">
      <c r="D332" s="21" t="n"/>
      <c r="E332" s="21" t="n"/>
      <c r="F332" s="21" t="n"/>
      <c r="G332" s="21" t="n"/>
      <c r="H332" s="21" t="n"/>
      <c r="I332" s="21" t="n"/>
      <c r="J332" s="21" t="n"/>
    </row>
    <row r="333">
      <c r="D333" s="21" t="n"/>
      <c r="E333" s="21" t="n"/>
      <c r="F333" s="21" t="n"/>
      <c r="G333" s="21" t="n"/>
      <c r="H333" s="21" t="n"/>
      <c r="I333" s="21" t="n"/>
      <c r="J333" s="21" t="n"/>
    </row>
    <row r="334">
      <c r="D334" s="21" t="n"/>
      <c r="E334" s="21" t="n"/>
      <c r="F334" s="21" t="n"/>
      <c r="G334" s="21" t="n"/>
      <c r="H334" s="21" t="n"/>
      <c r="I334" s="21" t="n"/>
      <c r="J334" s="21" t="n"/>
    </row>
    <row r="335">
      <c r="D335" s="21" t="n"/>
      <c r="E335" s="21" t="n"/>
      <c r="F335" s="21" t="n"/>
      <c r="G335" s="21" t="n"/>
      <c r="H335" s="21" t="n"/>
      <c r="I335" s="21" t="n"/>
      <c r="J335" s="21" t="n"/>
    </row>
    <row r="336">
      <c r="D336" s="21" t="n"/>
      <c r="E336" s="21" t="n"/>
      <c r="F336" s="21" t="n"/>
      <c r="G336" s="21" t="n"/>
      <c r="H336" s="21" t="n"/>
      <c r="I336" s="21" t="n"/>
      <c r="J336" s="21" t="n"/>
    </row>
    <row r="337">
      <c r="D337" s="21" t="n"/>
      <c r="E337" s="21" t="n"/>
      <c r="F337" s="21" t="n"/>
      <c r="G337" s="21" t="n"/>
      <c r="H337" s="21" t="n"/>
      <c r="I337" s="21" t="n"/>
      <c r="J337" s="21" t="n"/>
    </row>
    <row r="338">
      <c r="D338" s="21" t="n"/>
      <c r="E338" s="21" t="n"/>
      <c r="F338" s="21" t="n"/>
      <c r="G338" s="21" t="n"/>
      <c r="H338" s="21" t="n"/>
      <c r="I338" s="21" t="n"/>
      <c r="J338" s="21" t="n"/>
    </row>
    <row r="339">
      <c r="D339" s="21" t="n"/>
      <c r="E339" s="21" t="n"/>
      <c r="F339" s="21" t="n"/>
      <c r="G339" s="21" t="n"/>
      <c r="H339" s="21" t="n"/>
      <c r="I339" s="21" t="n"/>
      <c r="J339" s="21" t="n"/>
    </row>
    <row r="340">
      <c r="D340" s="21" t="n"/>
      <c r="E340" s="21" t="n"/>
      <c r="F340" s="21" t="n"/>
      <c r="G340" s="21" t="n"/>
      <c r="H340" s="21" t="n"/>
      <c r="I340" s="21" t="n"/>
      <c r="J340" s="21" t="n"/>
    </row>
    <row r="341">
      <c r="D341" s="21" t="n"/>
      <c r="E341" s="21" t="n"/>
      <c r="F341" s="21" t="n"/>
      <c r="G341" s="21" t="n"/>
      <c r="H341" s="21" t="n"/>
      <c r="I341" s="21" t="n"/>
      <c r="J341" s="21" t="n"/>
    </row>
    <row r="342">
      <c r="D342" s="21" t="n"/>
      <c r="E342" s="21" t="n"/>
      <c r="F342" s="21" t="n"/>
      <c r="G342" s="21" t="n"/>
      <c r="H342" s="21" t="n"/>
      <c r="I342" s="21" t="n"/>
      <c r="J342" s="21" t="n"/>
    </row>
    <row r="343">
      <c r="D343" s="21" t="n"/>
      <c r="E343" s="21" t="n"/>
      <c r="F343" s="21" t="n"/>
      <c r="G343" s="21" t="n"/>
      <c r="H343" s="21" t="n"/>
      <c r="I343" s="21" t="n"/>
      <c r="J343" s="21" t="n"/>
    </row>
    <row r="344">
      <c r="D344" s="21" t="n"/>
      <c r="E344" s="21" t="n"/>
      <c r="F344" s="21" t="n"/>
      <c r="G344" s="21" t="n"/>
      <c r="H344" s="21" t="n"/>
      <c r="I344" s="21" t="n"/>
      <c r="J344" s="21" t="n"/>
    </row>
    <row r="345">
      <c r="D345" s="21" t="n"/>
      <c r="E345" s="21" t="n"/>
      <c r="F345" s="21" t="n"/>
      <c r="G345" s="21" t="n"/>
      <c r="H345" s="21" t="n"/>
      <c r="I345" s="21" t="n"/>
      <c r="J345" s="21" t="n"/>
    </row>
    <row r="346">
      <c r="D346" s="21" t="n"/>
      <c r="E346" s="21" t="n"/>
      <c r="F346" s="21" t="n"/>
      <c r="G346" s="21" t="n"/>
      <c r="H346" s="21" t="n"/>
      <c r="I346" s="21" t="n"/>
      <c r="J346" s="21" t="n"/>
    </row>
    <row r="347">
      <c r="D347" s="21" t="n"/>
      <c r="E347" s="21" t="n"/>
      <c r="F347" s="21" t="n"/>
      <c r="G347" s="21" t="n"/>
      <c r="H347" s="21" t="n"/>
      <c r="I347" s="21" t="n"/>
      <c r="J347" s="21" t="n"/>
    </row>
    <row r="348">
      <c r="D348" s="21" t="n"/>
      <c r="E348" s="21" t="n"/>
      <c r="F348" s="21" t="n"/>
      <c r="G348" s="21" t="n"/>
      <c r="H348" s="21" t="n"/>
      <c r="I348" s="21" t="n"/>
      <c r="J348" s="21" t="n"/>
    </row>
    <row r="349">
      <c r="D349" s="21" t="n"/>
      <c r="E349" s="21" t="n"/>
      <c r="F349" s="21" t="n"/>
      <c r="G349" s="21" t="n"/>
      <c r="H349" s="21" t="n"/>
      <c r="I349" s="21" t="n"/>
      <c r="J349" s="21" t="n"/>
    </row>
    <row r="350">
      <c r="D350" s="21" t="n"/>
      <c r="E350" s="21" t="n"/>
      <c r="F350" s="21" t="n"/>
      <c r="G350" s="21" t="n"/>
      <c r="H350" s="21" t="n"/>
      <c r="I350" s="21" t="n"/>
      <c r="J350" s="21" t="n"/>
    </row>
    <row r="351">
      <c r="D351" s="21" t="n"/>
      <c r="E351" s="21" t="n"/>
      <c r="F351" s="21" t="n"/>
      <c r="G351" s="21" t="n"/>
      <c r="H351" s="21" t="n"/>
      <c r="I351" s="21" t="n"/>
      <c r="J351" s="21" t="n"/>
    </row>
    <row r="352">
      <c r="D352" s="21" t="n"/>
      <c r="E352" s="21" t="n"/>
      <c r="F352" s="21" t="n"/>
      <c r="G352" s="21" t="n"/>
      <c r="H352" s="21" t="n"/>
      <c r="I352" s="21" t="n"/>
      <c r="J352" s="21" t="n"/>
    </row>
    <row r="353">
      <c r="D353" s="21" t="n"/>
      <c r="E353" s="21" t="n"/>
      <c r="F353" s="21" t="n"/>
      <c r="G353" s="21" t="n"/>
      <c r="H353" s="21" t="n"/>
      <c r="I353" s="21" t="n"/>
      <c r="J353" s="21" t="n"/>
    </row>
    <row r="354">
      <c r="D354" s="21" t="n"/>
      <c r="E354" s="21" t="n"/>
      <c r="F354" s="21" t="n"/>
      <c r="G354" s="21" t="n"/>
      <c r="H354" s="21" t="n"/>
      <c r="I354" s="21" t="n"/>
      <c r="J354" s="21" t="n"/>
    </row>
    <row r="355">
      <c r="D355" s="21" t="n"/>
      <c r="E355" s="21" t="n"/>
      <c r="F355" s="21" t="n"/>
      <c r="G355" s="21" t="n"/>
      <c r="H355" s="21" t="n"/>
      <c r="I355" s="21" t="n"/>
      <c r="J355" s="21" t="n"/>
    </row>
    <row r="356">
      <c r="D356" s="21" t="n"/>
      <c r="E356" s="21" t="n"/>
      <c r="F356" s="21" t="n"/>
      <c r="G356" s="21" t="n"/>
      <c r="H356" s="21" t="n"/>
      <c r="I356" s="21" t="n"/>
      <c r="J356" s="21" t="n"/>
    </row>
    <row r="357">
      <c r="D357" s="21" t="n"/>
      <c r="E357" s="21" t="n"/>
      <c r="F357" s="21" t="n"/>
      <c r="G357" s="21" t="n"/>
      <c r="H357" s="21" t="n"/>
      <c r="I357" s="21" t="n"/>
      <c r="J357" s="21" t="n"/>
    </row>
    <row r="358">
      <c r="D358" s="21" t="n"/>
      <c r="E358" s="21" t="n"/>
      <c r="F358" s="21" t="n"/>
      <c r="G358" s="21" t="n"/>
      <c r="H358" s="21" t="n"/>
      <c r="I358" s="21" t="n"/>
      <c r="J358" s="21" t="n"/>
    </row>
    <row r="359">
      <c r="D359" s="21" t="n"/>
      <c r="E359" s="21" t="n"/>
      <c r="F359" s="21" t="n"/>
      <c r="G359" s="21" t="n"/>
      <c r="H359" s="21" t="n"/>
      <c r="I359" s="21" t="n"/>
      <c r="J359" s="21" t="n"/>
    </row>
    <row r="360">
      <c r="D360" s="21" t="n"/>
      <c r="E360" s="21" t="n"/>
      <c r="F360" s="21" t="n"/>
      <c r="G360" s="21" t="n"/>
      <c r="H360" s="21" t="n"/>
      <c r="I360" s="21" t="n"/>
      <c r="J360" s="21" t="n"/>
    </row>
    <row r="361">
      <c r="D361" s="21" t="n"/>
      <c r="E361" s="21" t="n"/>
      <c r="F361" s="21" t="n"/>
      <c r="G361" s="21" t="n"/>
      <c r="H361" s="21" t="n"/>
      <c r="I361" s="21" t="n"/>
      <c r="J361" s="21" t="n"/>
    </row>
    <row r="362">
      <c r="D362" s="21" t="n"/>
      <c r="E362" s="21" t="n"/>
      <c r="F362" s="21" t="n"/>
      <c r="G362" s="21" t="n"/>
      <c r="H362" s="21" t="n"/>
      <c r="I362" s="21" t="n"/>
      <c r="J362" s="21" t="n"/>
    </row>
    <row r="363">
      <c r="D363" s="21" t="n"/>
      <c r="E363" s="21" t="n"/>
      <c r="F363" s="21" t="n"/>
      <c r="G363" s="21" t="n"/>
      <c r="H363" s="21" t="n"/>
      <c r="I363" s="21" t="n"/>
      <c r="J363" s="21" t="n"/>
    </row>
    <row r="364">
      <c r="D364" s="21" t="n"/>
      <c r="E364" s="21" t="n"/>
      <c r="F364" s="21" t="n"/>
      <c r="G364" s="21" t="n"/>
      <c r="H364" s="21" t="n"/>
      <c r="I364" s="21" t="n"/>
      <c r="J364" s="21" t="n"/>
    </row>
    <row r="365">
      <c r="D365" s="21" t="n"/>
      <c r="E365" s="21" t="n"/>
      <c r="F365" s="21" t="n"/>
      <c r="G365" s="21" t="n"/>
      <c r="H365" s="21" t="n"/>
      <c r="I365" s="21" t="n"/>
      <c r="J365" s="21" t="n"/>
    </row>
    <row r="366">
      <c r="D366" s="21" t="n"/>
      <c r="E366" s="21" t="n"/>
      <c r="F366" s="21" t="n"/>
      <c r="G366" s="21" t="n"/>
      <c r="H366" s="21" t="n"/>
      <c r="I366" s="21" t="n"/>
      <c r="J366" s="21" t="n"/>
    </row>
    <row r="367">
      <c r="D367" s="21" t="n"/>
      <c r="E367" s="21" t="n"/>
      <c r="F367" s="21" t="n"/>
      <c r="G367" s="21" t="n"/>
      <c r="H367" s="21" t="n"/>
      <c r="I367" s="21" t="n"/>
      <c r="J367" s="21" t="n"/>
    </row>
    <row r="368">
      <c r="D368" s="21" t="n"/>
      <c r="E368" s="21" t="n"/>
      <c r="F368" s="21" t="n"/>
      <c r="G368" s="21" t="n"/>
      <c r="H368" s="21" t="n"/>
      <c r="I368" s="21" t="n"/>
      <c r="J368" s="21" t="n"/>
    </row>
    <row r="369">
      <c r="D369" s="21" t="n"/>
      <c r="E369" s="21" t="n"/>
      <c r="F369" s="21" t="n"/>
      <c r="G369" s="21" t="n"/>
      <c r="H369" s="21" t="n"/>
      <c r="I369" s="21" t="n"/>
      <c r="J369" s="21" t="n"/>
    </row>
    <row r="370">
      <c r="D370" s="21" t="n"/>
      <c r="E370" s="21" t="n"/>
      <c r="F370" s="21" t="n"/>
      <c r="G370" s="21" t="n"/>
      <c r="H370" s="21" t="n"/>
      <c r="I370" s="21" t="n"/>
      <c r="J370" s="21" t="n"/>
    </row>
    <row r="371">
      <c r="D371" s="21" t="n"/>
      <c r="E371" s="21" t="n"/>
      <c r="F371" s="21" t="n"/>
      <c r="G371" s="21" t="n"/>
      <c r="H371" s="21" t="n"/>
      <c r="I371" s="21" t="n"/>
      <c r="J371" s="21" t="n"/>
    </row>
    <row r="372">
      <c r="D372" s="21" t="n"/>
      <c r="E372" s="21" t="n"/>
      <c r="F372" s="21" t="n"/>
      <c r="G372" s="21" t="n"/>
      <c r="H372" s="21" t="n"/>
      <c r="I372" s="21" t="n"/>
      <c r="J372" s="21" t="n"/>
    </row>
    <row r="373">
      <c r="D373" s="21" t="n"/>
      <c r="E373" s="21" t="n"/>
      <c r="F373" s="21" t="n"/>
      <c r="G373" s="21" t="n"/>
      <c r="H373" s="21" t="n"/>
      <c r="I373" s="21" t="n"/>
      <c r="J373" s="21" t="n"/>
    </row>
    <row r="374">
      <c r="D374" s="21" t="n"/>
      <c r="E374" s="21" t="n"/>
      <c r="F374" s="21" t="n"/>
      <c r="G374" s="21" t="n"/>
      <c r="H374" s="21" t="n"/>
      <c r="I374" s="21" t="n"/>
      <c r="J374" s="21" t="n"/>
    </row>
    <row r="375">
      <c r="D375" s="21" t="n"/>
      <c r="E375" s="21" t="n"/>
      <c r="F375" s="21" t="n"/>
      <c r="G375" s="21" t="n"/>
      <c r="H375" s="21" t="n"/>
      <c r="I375" s="21" t="n"/>
      <c r="J375" s="21" t="n"/>
    </row>
    <row r="376">
      <c r="D376" s="21" t="n"/>
      <c r="E376" s="21" t="n"/>
      <c r="F376" s="21" t="n"/>
      <c r="G376" s="21" t="n"/>
      <c r="H376" s="21" t="n"/>
      <c r="I376" s="21" t="n"/>
      <c r="J376" s="21" t="n"/>
    </row>
    <row r="377">
      <c r="D377" s="21" t="n"/>
      <c r="E377" s="21" t="n"/>
      <c r="F377" s="21" t="n"/>
      <c r="G377" s="21" t="n"/>
      <c r="H377" s="21" t="n"/>
      <c r="I377" s="21" t="n"/>
      <c r="J377" s="21" t="n"/>
    </row>
    <row r="378">
      <c r="D378" s="21" t="n"/>
      <c r="E378" s="21" t="n"/>
      <c r="F378" s="21" t="n"/>
      <c r="G378" s="21" t="n"/>
      <c r="H378" s="21" t="n"/>
      <c r="I378" s="21" t="n"/>
      <c r="J378" s="21" t="n"/>
    </row>
    <row r="379">
      <c r="D379" s="21" t="n"/>
      <c r="E379" s="21" t="n"/>
      <c r="F379" s="21" t="n"/>
      <c r="G379" s="21" t="n"/>
      <c r="H379" s="21" t="n"/>
      <c r="I379" s="21" t="n"/>
      <c r="J379" s="21" t="n"/>
    </row>
    <row r="380">
      <c r="D380" s="21" t="n"/>
      <c r="E380" s="21" t="n"/>
      <c r="F380" s="21" t="n"/>
      <c r="G380" s="21" t="n"/>
      <c r="H380" s="21" t="n"/>
      <c r="I380" s="21" t="n"/>
      <c r="J380" s="21" t="n"/>
    </row>
    <row r="381">
      <c r="D381" s="21" t="n"/>
      <c r="E381" s="21" t="n"/>
      <c r="F381" s="21" t="n"/>
      <c r="G381" s="21" t="n"/>
      <c r="H381" s="21" t="n"/>
      <c r="I381" s="21" t="n"/>
      <c r="J381" s="21" t="n"/>
    </row>
    <row r="382">
      <c r="D382" s="21" t="n"/>
      <c r="E382" s="21" t="n"/>
      <c r="F382" s="21" t="n"/>
      <c r="G382" s="21" t="n"/>
      <c r="H382" s="21" t="n"/>
      <c r="I382" s="21" t="n"/>
      <c r="J382" s="21" t="n"/>
    </row>
    <row r="383">
      <c r="D383" s="21" t="n"/>
      <c r="E383" s="21" t="n"/>
      <c r="F383" s="21" t="n"/>
      <c r="G383" s="21" t="n"/>
      <c r="H383" s="21" t="n"/>
      <c r="I383" s="21" t="n"/>
      <c r="J383" s="21" t="n"/>
    </row>
    <row r="384">
      <c r="D384" s="21" t="n"/>
      <c r="E384" s="21" t="n"/>
      <c r="F384" s="21" t="n"/>
      <c r="G384" s="21" t="n"/>
      <c r="H384" s="21" t="n"/>
      <c r="I384" s="21" t="n"/>
      <c r="J384" s="21" t="n"/>
    </row>
    <row r="385">
      <c r="D385" s="21" t="n"/>
      <c r="E385" s="21" t="n"/>
      <c r="F385" s="21" t="n"/>
      <c r="G385" s="21" t="n"/>
      <c r="H385" s="21" t="n"/>
      <c r="I385" s="21" t="n"/>
      <c r="J385" s="21" t="n"/>
    </row>
    <row r="386">
      <c r="D386" s="21" t="n"/>
      <c r="E386" s="21" t="n"/>
      <c r="F386" s="21" t="n"/>
      <c r="G386" s="21" t="n"/>
      <c r="H386" s="21" t="n"/>
      <c r="I386" s="21" t="n"/>
      <c r="J386" s="21" t="n"/>
    </row>
    <row r="387">
      <c r="D387" s="21" t="n"/>
      <c r="E387" s="21" t="n"/>
      <c r="F387" s="21" t="n"/>
      <c r="G387" s="21" t="n"/>
      <c r="H387" s="21" t="n"/>
      <c r="I387" s="21" t="n"/>
      <c r="J387" s="21" t="n"/>
    </row>
    <row r="388">
      <c r="D388" s="21" t="n"/>
      <c r="E388" s="21" t="n"/>
      <c r="F388" s="21" t="n"/>
      <c r="G388" s="21" t="n"/>
      <c r="H388" s="21" t="n"/>
      <c r="I388" s="21" t="n"/>
      <c r="J388" s="21" t="n"/>
    </row>
    <row r="389">
      <c r="D389" s="21" t="n"/>
      <c r="E389" s="21" t="n"/>
      <c r="F389" s="21" t="n"/>
      <c r="G389" s="21" t="n"/>
      <c r="H389" s="21" t="n"/>
      <c r="I389" s="21" t="n"/>
      <c r="J389" s="21" t="n"/>
    </row>
    <row r="390">
      <c r="D390" s="21" t="n"/>
      <c r="E390" s="21" t="n"/>
      <c r="F390" s="21" t="n"/>
      <c r="G390" s="21" t="n"/>
      <c r="H390" s="21" t="n"/>
      <c r="I390" s="21" t="n"/>
      <c r="J390" s="21" t="n"/>
    </row>
    <row r="391">
      <c r="D391" s="21" t="n"/>
      <c r="E391" s="21" t="n"/>
      <c r="F391" s="21" t="n"/>
      <c r="G391" s="21" t="n"/>
      <c r="H391" s="21" t="n"/>
      <c r="I391" s="21" t="n"/>
      <c r="J391" s="21" t="n"/>
    </row>
    <row r="392">
      <c r="D392" s="21" t="n"/>
      <c r="E392" s="21" t="n"/>
      <c r="F392" s="21" t="n"/>
      <c r="G392" s="21" t="n"/>
      <c r="H392" s="21" t="n"/>
      <c r="I392" s="21" t="n"/>
      <c r="J392" s="21" t="n"/>
    </row>
    <row r="393">
      <c r="D393" s="21" t="n"/>
      <c r="E393" s="21" t="n"/>
      <c r="F393" s="21" t="n"/>
      <c r="G393" s="21" t="n"/>
      <c r="H393" s="21" t="n"/>
      <c r="I393" s="21" t="n"/>
      <c r="J393" s="21" t="n"/>
    </row>
    <row r="394">
      <c r="D394" s="21" t="n"/>
      <c r="E394" s="21" t="n"/>
      <c r="F394" s="21" t="n"/>
      <c r="G394" s="21" t="n"/>
      <c r="H394" s="21" t="n"/>
      <c r="I394" s="21" t="n"/>
      <c r="J394" s="21" t="n"/>
    </row>
    <row r="395">
      <c r="D395" s="21" t="n"/>
      <c r="E395" s="21" t="n"/>
      <c r="F395" s="21" t="n"/>
      <c r="G395" s="21" t="n"/>
      <c r="H395" s="21" t="n"/>
      <c r="I395" s="21" t="n"/>
      <c r="J395" s="21" t="n"/>
    </row>
    <row r="396">
      <c r="D396" s="21" t="n"/>
      <c r="E396" s="21" t="n"/>
      <c r="F396" s="21" t="n"/>
      <c r="G396" s="21" t="n"/>
      <c r="H396" s="21" t="n"/>
      <c r="I396" s="21" t="n"/>
      <c r="J396" s="21" t="n"/>
    </row>
    <row r="397">
      <c r="D397" s="21" t="n"/>
      <c r="E397" s="21" t="n"/>
      <c r="F397" s="21" t="n"/>
      <c r="G397" s="21" t="n"/>
      <c r="H397" s="21" t="n"/>
      <c r="I397" s="21" t="n"/>
      <c r="J397" s="21" t="n"/>
    </row>
    <row r="398">
      <c r="D398" s="21" t="n"/>
      <c r="E398" s="21" t="n"/>
      <c r="F398" s="21" t="n"/>
      <c r="G398" s="21" t="n"/>
      <c r="H398" s="21" t="n"/>
      <c r="I398" s="21" t="n"/>
      <c r="J398" s="21" t="n"/>
    </row>
    <row r="399">
      <c r="D399" s="21" t="n"/>
      <c r="E399" s="21" t="n"/>
      <c r="F399" s="21" t="n"/>
      <c r="G399" s="21" t="n"/>
      <c r="H399" s="21" t="n"/>
      <c r="I399" s="21" t="n"/>
      <c r="J399" s="21" t="n"/>
    </row>
    <row r="400">
      <c r="D400" s="21" t="n"/>
      <c r="E400" s="21" t="n"/>
      <c r="F400" s="21" t="n"/>
      <c r="G400" s="21" t="n"/>
      <c r="H400" s="21" t="n"/>
      <c r="I400" s="21" t="n"/>
      <c r="J400" s="21" t="n"/>
    </row>
    <row r="401">
      <c r="D401" s="21" t="n"/>
      <c r="E401" s="21" t="n"/>
      <c r="F401" s="21" t="n"/>
      <c r="G401" s="21" t="n"/>
      <c r="H401" s="21" t="n"/>
      <c r="I401" s="21" t="n"/>
      <c r="J401" s="21" t="n"/>
    </row>
    <row r="402">
      <c r="D402" s="21" t="n"/>
      <c r="E402" s="21" t="n"/>
      <c r="F402" s="21" t="n"/>
      <c r="G402" s="21" t="n"/>
      <c r="H402" s="21" t="n"/>
      <c r="I402" s="21" t="n"/>
      <c r="J402" s="21" t="n"/>
    </row>
    <row r="403">
      <c r="D403" s="21" t="n"/>
      <c r="E403" s="21" t="n"/>
      <c r="F403" s="21" t="n"/>
      <c r="G403" s="21" t="n"/>
      <c r="H403" s="21" t="n"/>
      <c r="I403" s="21" t="n"/>
      <c r="J403" s="21" t="n"/>
    </row>
    <row r="404">
      <c r="D404" s="21" t="n"/>
      <c r="E404" s="21" t="n"/>
      <c r="F404" s="21" t="n"/>
      <c r="G404" s="21" t="n"/>
      <c r="H404" s="21" t="n"/>
      <c r="I404" s="21" t="n"/>
      <c r="J404" s="21" t="n"/>
    </row>
    <row r="405">
      <c r="D405" s="21" t="n"/>
      <c r="E405" s="21" t="n"/>
      <c r="F405" s="21" t="n"/>
      <c r="G405" s="21" t="n"/>
      <c r="H405" s="21" t="n"/>
      <c r="I405" s="21" t="n"/>
      <c r="J405" s="21" t="n"/>
    </row>
    <row r="406">
      <c r="D406" s="21" t="n"/>
      <c r="E406" s="21" t="n"/>
      <c r="F406" s="21" t="n"/>
      <c r="G406" s="21" t="n"/>
      <c r="H406" s="21" t="n"/>
      <c r="I406" s="21" t="n"/>
      <c r="J406" s="21" t="n"/>
    </row>
    <row r="407">
      <c r="D407" s="21" t="n"/>
      <c r="E407" s="21" t="n"/>
      <c r="F407" s="21" t="n"/>
      <c r="G407" s="21" t="n"/>
      <c r="H407" s="21" t="n"/>
      <c r="I407" s="21" t="n"/>
      <c r="J407" s="21" t="n"/>
    </row>
    <row r="408">
      <c r="D408" s="21" t="n"/>
      <c r="E408" s="21" t="n"/>
      <c r="F408" s="21" t="n"/>
      <c r="G408" s="21" t="n"/>
      <c r="H408" s="21" t="n"/>
      <c r="I408" s="21" t="n"/>
      <c r="J408" s="21" t="n"/>
    </row>
    <row r="409">
      <c r="D409" s="21" t="n"/>
      <c r="E409" s="21" t="n"/>
      <c r="F409" s="21" t="n"/>
      <c r="G409" s="21" t="n"/>
      <c r="H409" s="21" t="n"/>
      <c r="I409" s="21" t="n"/>
      <c r="J409" s="21" t="n"/>
    </row>
    <row r="410">
      <c r="D410" s="21" t="n"/>
      <c r="E410" s="21" t="n"/>
      <c r="F410" s="21" t="n"/>
      <c r="G410" s="21" t="n"/>
      <c r="H410" s="21" t="n"/>
      <c r="I410" s="21" t="n"/>
      <c r="J410" s="21" t="n"/>
    </row>
    <row r="411">
      <c r="D411" s="21" t="n"/>
      <c r="E411" s="21" t="n"/>
      <c r="F411" s="21" t="n"/>
      <c r="G411" s="21" t="n"/>
      <c r="H411" s="21" t="n"/>
      <c r="I411" s="21" t="n"/>
      <c r="J411" s="21" t="n"/>
    </row>
    <row r="412">
      <c r="D412" s="21" t="n"/>
      <c r="E412" s="21" t="n"/>
      <c r="F412" s="21" t="n"/>
      <c r="G412" s="21" t="n"/>
      <c r="H412" s="21" t="n"/>
      <c r="I412" s="21" t="n"/>
      <c r="J412" s="21" t="n"/>
    </row>
    <row r="413">
      <c r="D413" s="21" t="n"/>
      <c r="E413" s="21" t="n"/>
      <c r="F413" s="21" t="n"/>
      <c r="G413" s="21" t="n"/>
      <c r="H413" s="21" t="n"/>
      <c r="I413" s="21" t="n"/>
      <c r="J413" s="21" t="n"/>
    </row>
    <row r="414">
      <c r="D414" s="21" t="n"/>
      <c r="E414" s="21" t="n"/>
      <c r="F414" s="21" t="n"/>
      <c r="G414" s="21" t="n"/>
      <c r="H414" s="21" t="n"/>
      <c r="I414" s="21" t="n"/>
      <c r="J414" s="21" t="n"/>
    </row>
    <row r="415">
      <c r="D415" s="21" t="n"/>
      <c r="E415" s="21" t="n"/>
      <c r="F415" s="21" t="n"/>
      <c r="G415" s="21" t="n"/>
      <c r="H415" s="21" t="n"/>
      <c r="I415" s="21" t="n"/>
      <c r="J415" s="21" t="n"/>
    </row>
    <row r="416">
      <c r="D416" s="21" t="n"/>
      <c r="E416" s="21" t="n"/>
      <c r="F416" s="21" t="n"/>
      <c r="G416" s="21" t="n"/>
      <c r="H416" s="21" t="n"/>
      <c r="I416" s="21" t="n"/>
      <c r="J416" s="21" t="n"/>
    </row>
    <row r="417">
      <c r="D417" s="21" t="n"/>
      <c r="E417" s="21" t="n"/>
      <c r="F417" s="21" t="n"/>
      <c r="G417" s="21" t="n"/>
      <c r="H417" s="21" t="n"/>
      <c r="I417" s="21" t="n"/>
      <c r="J417" s="21" t="n"/>
    </row>
    <row r="418">
      <c r="D418" s="21" t="n"/>
      <c r="E418" s="21" t="n"/>
      <c r="F418" s="21" t="n"/>
      <c r="G418" s="21" t="n"/>
      <c r="H418" s="21" t="n"/>
      <c r="I418" s="21" t="n"/>
      <c r="J418" s="21" t="n"/>
    </row>
    <row r="419">
      <c r="D419" s="21" t="n"/>
      <c r="E419" s="21" t="n"/>
      <c r="F419" s="21" t="n"/>
      <c r="G419" s="21" t="n"/>
      <c r="H419" s="21" t="n"/>
      <c r="I419" s="21" t="n"/>
      <c r="J419" s="21" t="n"/>
    </row>
    <row r="420">
      <c r="D420" s="21" t="n"/>
      <c r="E420" s="21" t="n"/>
      <c r="F420" s="21" t="n"/>
      <c r="G420" s="21" t="n"/>
      <c r="H420" s="21" t="n"/>
      <c r="I420" s="21" t="n"/>
      <c r="J420" s="21" t="n"/>
    </row>
    <row r="421">
      <c r="D421" s="21" t="n"/>
      <c r="E421" s="21" t="n"/>
      <c r="F421" s="21" t="n"/>
      <c r="G421" s="21" t="n"/>
      <c r="H421" s="21" t="n"/>
      <c r="I421" s="21" t="n"/>
      <c r="J421" s="21" t="n"/>
    </row>
    <row r="422">
      <c r="D422" s="21" t="n"/>
      <c r="E422" s="21" t="n"/>
      <c r="F422" s="21" t="n"/>
      <c r="G422" s="21" t="n"/>
      <c r="H422" s="21" t="n"/>
      <c r="I422" s="21" t="n"/>
      <c r="J422" s="21" t="n"/>
    </row>
    <row r="423">
      <c r="D423" s="21" t="n"/>
      <c r="E423" s="21" t="n"/>
      <c r="F423" s="21" t="n"/>
      <c r="G423" s="21" t="n"/>
      <c r="H423" s="21" t="n"/>
      <c r="I423" s="21" t="n"/>
      <c r="J423" s="21" t="n"/>
    </row>
    <row r="424">
      <c r="D424" s="21" t="n"/>
      <c r="E424" s="21" t="n"/>
      <c r="F424" s="21" t="n"/>
      <c r="G424" s="21" t="n"/>
      <c r="H424" s="21" t="n"/>
      <c r="I424" s="21" t="n"/>
      <c r="J424" s="21" t="n"/>
    </row>
    <row r="425">
      <c r="D425" s="21" t="n"/>
      <c r="E425" s="21" t="n"/>
      <c r="F425" s="21" t="n"/>
      <c r="G425" s="21" t="n"/>
      <c r="H425" s="21" t="n"/>
      <c r="I425" s="21" t="n"/>
      <c r="J425" s="21" t="n"/>
    </row>
    <row r="426">
      <c r="D426" s="21" t="n"/>
      <c r="E426" s="21" t="n"/>
      <c r="F426" s="21" t="n"/>
      <c r="G426" s="21" t="n"/>
      <c r="H426" s="21" t="n"/>
      <c r="I426" s="21" t="n"/>
      <c r="J426" s="21" t="n"/>
    </row>
    <row r="427">
      <c r="D427" s="21" t="n"/>
      <c r="E427" s="21" t="n"/>
      <c r="F427" s="21" t="n"/>
      <c r="G427" s="21" t="n"/>
      <c r="H427" s="21" t="n"/>
      <c r="I427" s="21" t="n"/>
      <c r="J427" s="21" t="n"/>
    </row>
    <row r="428">
      <c r="D428" s="21" t="n"/>
      <c r="E428" s="21" t="n"/>
      <c r="F428" s="21" t="n"/>
      <c r="G428" s="21" t="n"/>
      <c r="H428" s="21" t="n"/>
      <c r="I428" s="21" t="n"/>
      <c r="J428" s="21" t="n"/>
    </row>
    <row r="429">
      <c r="D429" s="21" t="n"/>
      <c r="E429" s="21" t="n"/>
      <c r="F429" s="21" t="n"/>
      <c r="G429" s="21" t="n"/>
      <c r="H429" s="21" t="n"/>
      <c r="I429" s="21" t="n"/>
      <c r="J429" s="21" t="n"/>
    </row>
    <row r="430">
      <c r="D430" s="21" t="n"/>
      <c r="E430" s="21" t="n"/>
      <c r="F430" s="21" t="n"/>
      <c r="G430" s="21" t="n"/>
      <c r="H430" s="21" t="n"/>
      <c r="I430" s="21" t="n"/>
      <c r="J430" s="21" t="n"/>
    </row>
    <row r="431">
      <c r="D431" s="21" t="n"/>
      <c r="E431" s="21" t="n"/>
      <c r="F431" s="21" t="n"/>
      <c r="G431" s="21" t="n"/>
      <c r="H431" s="21" t="n"/>
      <c r="I431" s="21" t="n"/>
      <c r="J431" s="21" t="n"/>
    </row>
    <row r="432">
      <c r="D432" s="21" t="n"/>
      <c r="E432" s="21" t="n"/>
      <c r="F432" s="21" t="n"/>
      <c r="G432" s="21" t="n"/>
      <c r="H432" s="21" t="n"/>
      <c r="I432" s="21" t="n"/>
      <c r="J432" s="21" t="n"/>
    </row>
    <row r="433">
      <c r="D433" s="21" t="n"/>
      <c r="E433" s="21" t="n"/>
      <c r="F433" s="21" t="n"/>
      <c r="G433" s="21" t="n"/>
      <c r="H433" s="21" t="n"/>
      <c r="I433" s="21" t="n"/>
      <c r="J433" s="21" t="n"/>
    </row>
    <row r="434">
      <c r="D434" s="21" t="n"/>
      <c r="E434" s="21" t="n"/>
      <c r="F434" s="21" t="n"/>
      <c r="G434" s="21" t="n"/>
      <c r="H434" s="21" t="n"/>
      <c r="I434" s="21" t="n"/>
      <c r="J434" s="21" t="n"/>
    </row>
    <row r="435">
      <c r="D435" s="21" t="n"/>
      <c r="E435" s="21" t="n"/>
      <c r="F435" s="21" t="n"/>
      <c r="G435" s="21" t="n"/>
      <c r="H435" s="21" t="n"/>
      <c r="I435" s="21" t="n"/>
      <c r="J435" s="21" t="n"/>
    </row>
    <row r="436">
      <c r="D436" s="21" t="n"/>
      <c r="E436" s="21" t="n"/>
      <c r="F436" s="21" t="n"/>
      <c r="G436" s="21" t="n"/>
      <c r="H436" s="21" t="n"/>
      <c r="I436" s="21" t="n"/>
      <c r="J436" s="21" t="n"/>
    </row>
    <row r="437">
      <c r="D437" s="21" t="n"/>
      <c r="E437" s="21" t="n"/>
      <c r="F437" s="21" t="n"/>
      <c r="G437" s="21" t="n"/>
      <c r="H437" s="21" t="n"/>
      <c r="I437" s="21" t="n"/>
      <c r="J437" s="21" t="n"/>
    </row>
    <row r="438">
      <c r="D438" s="21" t="n"/>
      <c r="E438" s="21" t="n"/>
      <c r="F438" s="21" t="n"/>
      <c r="G438" s="21" t="n"/>
      <c r="H438" s="21" t="n"/>
      <c r="I438" s="21" t="n"/>
      <c r="J438" s="21" t="n"/>
    </row>
    <row r="439">
      <c r="D439" s="21" t="n"/>
      <c r="E439" s="21" t="n"/>
      <c r="F439" s="21" t="n"/>
      <c r="G439" s="21" t="n"/>
      <c r="H439" s="21" t="n"/>
      <c r="I439" s="21" t="n"/>
      <c r="J439" s="21" t="n"/>
    </row>
    <row r="440">
      <c r="D440" s="21" t="n"/>
      <c r="E440" s="21" t="n"/>
      <c r="F440" s="21" t="n"/>
      <c r="G440" s="21" t="n"/>
      <c r="H440" s="21" t="n"/>
      <c r="I440" s="21" t="n"/>
      <c r="J440" s="21" t="n"/>
    </row>
    <row r="441">
      <c r="D441" s="21" t="n"/>
      <c r="E441" s="21" t="n"/>
      <c r="F441" s="21" t="n"/>
      <c r="G441" s="21" t="n"/>
      <c r="H441" s="21" t="n"/>
      <c r="I441" s="21" t="n"/>
      <c r="J441" s="21" t="n"/>
    </row>
    <row r="442">
      <c r="D442" s="21" t="n"/>
      <c r="E442" s="21" t="n"/>
      <c r="F442" s="21" t="n"/>
      <c r="G442" s="21" t="n"/>
      <c r="H442" s="21" t="n"/>
      <c r="I442" s="21" t="n"/>
      <c r="J442" s="21" t="n"/>
    </row>
    <row r="443">
      <c r="D443" s="21" t="n"/>
      <c r="E443" s="21" t="n"/>
      <c r="F443" s="21" t="n"/>
      <c r="G443" s="21" t="n"/>
      <c r="H443" s="21" t="n"/>
      <c r="I443" s="21" t="n"/>
      <c r="J443" s="21" t="n"/>
    </row>
    <row r="444">
      <c r="D444" s="21" t="n"/>
      <c r="E444" s="21" t="n"/>
      <c r="F444" s="21" t="n"/>
      <c r="G444" s="21" t="n"/>
      <c r="H444" s="21" t="n"/>
      <c r="I444" s="21" t="n"/>
      <c r="J444" s="21" t="n"/>
    </row>
    <row r="445">
      <c r="D445" s="21" t="n"/>
      <c r="E445" s="21" t="n"/>
      <c r="F445" s="21" t="n"/>
      <c r="G445" s="21" t="n"/>
      <c r="H445" s="21" t="n"/>
      <c r="I445" s="21" t="n"/>
      <c r="J445" s="21" t="n"/>
    </row>
    <row r="446">
      <c r="D446" s="21" t="n"/>
      <c r="E446" s="21" t="n"/>
      <c r="F446" s="21" t="n"/>
      <c r="G446" s="21" t="n"/>
      <c r="H446" s="21" t="n"/>
      <c r="I446" s="21" t="n"/>
      <c r="J446" s="21" t="n"/>
    </row>
    <row r="447">
      <c r="D447" s="21" t="n"/>
      <c r="E447" s="21" t="n"/>
      <c r="F447" s="21" t="n"/>
      <c r="G447" s="21" t="n"/>
      <c r="H447" s="21" t="n"/>
      <c r="I447" s="21" t="n"/>
      <c r="J447" s="21" t="n"/>
    </row>
    <row r="448">
      <c r="D448" s="21" t="n"/>
      <c r="E448" s="21" t="n"/>
      <c r="F448" s="21" t="n"/>
      <c r="G448" s="21" t="n"/>
      <c r="H448" s="21" t="n"/>
      <c r="I448" s="21" t="n"/>
      <c r="J448" s="21" t="n"/>
    </row>
    <row r="449">
      <c r="D449" s="21" t="n"/>
      <c r="E449" s="21" t="n"/>
      <c r="F449" s="21" t="n"/>
      <c r="G449" s="21" t="n"/>
      <c r="H449" s="21" t="n"/>
      <c r="I449" s="21" t="n"/>
      <c r="J449" s="21" t="n"/>
    </row>
    <row r="450">
      <c r="D450" s="21" t="n"/>
      <c r="E450" s="21" t="n"/>
      <c r="F450" s="21" t="n"/>
      <c r="G450" s="21" t="n"/>
      <c r="H450" s="21" t="n"/>
      <c r="I450" s="21" t="n"/>
      <c r="J450" s="21" t="n"/>
    </row>
    <row r="451">
      <c r="D451" s="21" t="n"/>
      <c r="E451" s="21" t="n"/>
      <c r="F451" s="21" t="n"/>
      <c r="G451" s="21" t="n"/>
      <c r="H451" s="21" t="n"/>
      <c r="I451" s="21" t="n"/>
      <c r="J451" s="21" t="n"/>
    </row>
    <row r="452">
      <c r="D452" s="21" t="n"/>
      <c r="E452" s="21" t="n"/>
      <c r="F452" s="21" t="n"/>
      <c r="G452" s="21" t="n"/>
      <c r="H452" s="21" t="n"/>
      <c r="I452" s="21" t="n"/>
      <c r="J452" s="21" t="n"/>
    </row>
    <row r="453">
      <c r="D453" s="21" t="n"/>
      <c r="E453" s="21" t="n"/>
      <c r="F453" s="21" t="n"/>
      <c r="G453" s="21" t="n"/>
      <c r="H453" s="21" t="n"/>
      <c r="I453" s="21" t="n"/>
      <c r="J453" s="21" t="n"/>
    </row>
    <row r="454">
      <c r="D454" s="21" t="n"/>
      <c r="E454" s="21" t="n"/>
      <c r="F454" s="21" t="n"/>
      <c r="G454" s="21" t="n"/>
      <c r="H454" s="21" t="n"/>
      <c r="I454" s="21" t="n"/>
      <c r="J454" s="21" t="n"/>
    </row>
    <row r="455">
      <c r="D455" s="21" t="n"/>
      <c r="E455" s="21" t="n"/>
      <c r="F455" s="21" t="n"/>
      <c r="G455" s="21" t="n"/>
      <c r="H455" s="21" t="n"/>
      <c r="I455" s="21" t="n"/>
      <c r="J455" s="21" t="n"/>
    </row>
    <row r="456">
      <c r="D456" s="21" t="n"/>
      <c r="E456" s="21" t="n"/>
      <c r="F456" s="21" t="n"/>
      <c r="G456" s="21" t="n"/>
      <c r="H456" s="21" t="n"/>
      <c r="I456" s="21" t="n"/>
      <c r="J456" s="21" t="n"/>
    </row>
    <row r="457">
      <c r="D457" s="21" t="n"/>
      <c r="E457" s="21" t="n"/>
      <c r="F457" s="21" t="n"/>
      <c r="G457" s="21" t="n"/>
      <c r="H457" s="21" t="n"/>
      <c r="I457" s="21" t="n"/>
      <c r="J457" s="21" t="n"/>
    </row>
    <row r="458">
      <c r="D458" s="21" t="n"/>
      <c r="E458" s="21" t="n"/>
      <c r="F458" s="21" t="n"/>
      <c r="G458" s="21" t="n"/>
      <c r="H458" s="21" t="n"/>
      <c r="I458" s="21" t="n"/>
      <c r="J458" s="21" t="n"/>
    </row>
    <row r="459">
      <c r="D459" s="21" t="n"/>
      <c r="E459" s="21" t="n"/>
      <c r="F459" s="21" t="n"/>
      <c r="G459" s="21" t="n"/>
      <c r="H459" s="21" t="n"/>
      <c r="I459" s="21" t="n"/>
      <c r="J459" s="21" t="n"/>
    </row>
    <row r="460">
      <c r="D460" s="21" t="n"/>
      <c r="E460" s="21" t="n"/>
      <c r="F460" s="21" t="n"/>
      <c r="G460" s="21" t="n"/>
      <c r="H460" s="21" t="n"/>
      <c r="I460" s="21" t="n"/>
      <c r="J460" s="21" t="n"/>
    </row>
    <row r="461">
      <c r="D461" s="21" t="n"/>
      <c r="E461" s="21" t="n"/>
      <c r="F461" s="21" t="n"/>
      <c r="G461" s="21" t="n"/>
      <c r="H461" s="21" t="n"/>
      <c r="I461" s="21" t="n"/>
      <c r="J461" s="21" t="n"/>
    </row>
    <row r="462">
      <c r="D462" s="21" t="n"/>
      <c r="E462" s="21" t="n"/>
      <c r="F462" s="21" t="n"/>
      <c r="G462" s="21" t="n"/>
      <c r="H462" s="21" t="n"/>
      <c r="I462" s="21" t="n"/>
      <c r="J462" s="21" t="n"/>
    </row>
    <row r="463">
      <c r="D463" s="21" t="n"/>
      <c r="E463" s="21" t="n"/>
      <c r="F463" s="21" t="n"/>
      <c r="G463" s="21" t="n"/>
      <c r="H463" s="21" t="n"/>
      <c r="I463" s="21" t="n"/>
      <c r="J463" s="21" t="n"/>
    </row>
    <row r="464">
      <c r="D464" s="21" t="n"/>
      <c r="E464" s="21" t="n"/>
      <c r="F464" s="21" t="n"/>
      <c r="G464" s="21" t="n"/>
      <c r="H464" s="21" t="n"/>
      <c r="I464" s="21" t="n"/>
      <c r="J464" s="21" t="n"/>
    </row>
    <row r="465">
      <c r="D465" s="21" t="n"/>
      <c r="E465" s="21" t="n"/>
      <c r="F465" s="21" t="n"/>
      <c r="G465" s="21" t="n"/>
      <c r="H465" s="21" t="n"/>
      <c r="I465" s="21" t="n"/>
      <c r="J465" s="21" t="n"/>
    </row>
    <row r="466">
      <c r="D466" s="21" t="n"/>
      <c r="E466" s="21" t="n"/>
      <c r="F466" s="21" t="n"/>
      <c r="G466" s="21" t="n"/>
      <c r="H466" s="21" t="n"/>
      <c r="I466" s="21" t="n"/>
      <c r="J466" s="21" t="n"/>
    </row>
    <row r="467">
      <c r="D467" s="21" t="n"/>
      <c r="E467" s="21" t="n"/>
      <c r="F467" s="21" t="n"/>
      <c r="G467" s="21" t="n"/>
      <c r="H467" s="21" t="n"/>
      <c r="I467" s="21" t="n"/>
      <c r="J467" s="21" t="n"/>
    </row>
    <row r="468">
      <c r="D468" s="21" t="n"/>
      <c r="E468" s="21" t="n"/>
      <c r="F468" s="21" t="n"/>
      <c r="G468" s="21" t="n"/>
      <c r="H468" s="21" t="n"/>
      <c r="I468" s="21" t="n"/>
      <c r="J468" s="21" t="n"/>
    </row>
    <row r="469">
      <c r="D469" s="21" t="n"/>
      <c r="E469" s="21" t="n"/>
      <c r="F469" s="21" t="n"/>
      <c r="G469" s="21" t="n"/>
      <c r="H469" s="21" t="n"/>
      <c r="I469" s="21" t="n"/>
      <c r="J469" s="21" t="n"/>
    </row>
    <row r="470">
      <c r="D470" s="21" t="n"/>
      <c r="E470" s="21" t="n"/>
      <c r="F470" s="21" t="n"/>
      <c r="G470" s="21" t="n"/>
      <c r="H470" s="21" t="n"/>
      <c r="I470" s="21" t="n"/>
      <c r="J470" s="21" t="n"/>
    </row>
    <row r="471">
      <c r="D471" s="21" t="n"/>
      <c r="E471" s="21" t="n"/>
      <c r="F471" s="21" t="n"/>
      <c r="G471" s="21" t="n"/>
      <c r="H471" s="21" t="n"/>
      <c r="I471" s="21" t="n"/>
      <c r="J471" s="21" t="n"/>
    </row>
    <row r="472">
      <c r="D472" s="21" t="n"/>
      <c r="E472" s="21" t="n"/>
      <c r="F472" s="21" t="n"/>
      <c r="G472" s="21" t="n"/>
      <c r="H472" s="21" t="n"/>
      <c r="I472" s="21" t="n"/>
      <c r="J472" s="21" t="n"/>
    </row>
    <row r="473">
      <c r="D473" s="21" t="n"/>
      <c r="E473" s="21" t="n"/>
      <c r="F473" s="21" t="n"/>
      <c r="G473" s="21" t="n"/>
      <c r="H473" s="21" t="n"/>
      <c r="I473" s="21" t="n"/>
      <c r="J473" s="21" t="n"/>
    </row>
    <row r="474">
      <c r="D474" s="21" t="n"/>
      <c r="E474" s="21" t="n"/>
      <c r="F474" s="21" t="n"/>
      <c r="G474" s="21" t="n"/>
      <c r="H474" s="21" t="n"/>
      <c r="I474" s="21" t="n"/>
      <c r="J474" s="21" t="n"/>
    </row>
    <row r="475">
      <c r="D475" s="21" t="n"/>
      <c r="E475" s="21" t="n"/>
      <c r="F475" s="21" t="n"/>
      <c r="G475" s="21" t="n"/>
      <c r="H475" s="21" t="n"/>
      <c r="I475" s="21" t="n"/>
      <c r="J475" s="21" t="n"/>
    </row>
    <row r="476">
      <c r="D476" s="21" t="n"/>
      <c r="E476" s="21" t="n"/>
      <c r="F476" s="21" t="n"/>
      <c r="G476" s="21" t="n"/>
      <c r="H476" s="21" t="n"/>
      <c r="I476" s="21" t="n"/>
      <c r="J476" s="21" t="n"/>
    </row>
    <row r="477">
      <c r="D477" s="21" t="n"/>
      <c r="E477" s="21" t="n"/>
      <c r="F477" s="21" t="n"/>
      <c r="G477" s="21" t="n"/>
      <c r="H477" s="21" t="n"/>
      <c r="I477" s="21" t="n"/>
      <c r="J477" s="21" t="n"/>
    </row>
    <row r="478">
      <c r="D478" s="21" t="n"/>
      <c r="E478" s="21" t="n"/>
      <c r="F478" s="21" t="n"/>
      <c r="G478" s="21" t="n"/>
      <c r="H478" s="21" t="n"/>
      <c r="I478" s="21" t="n"/>
      <c r="J478" s="21" t="n"/>
    </row>
    <row r="479">
      <c r="D479" s="21" t="n"/>
      <c r="E479" s="21" t="n"/>
      <c r="F479" s="21" t="n"/>
      <c r="G479" s="21" t="n"/>
      <c r="H479" s="21" t="n"/>
      <c r="I479" s="21" t="n"/>
      <c r="J479" s="21" t="n"/>
    </row>
    <row r="480">
      <c r="D480" s="21" t="n"/>
      <c r="E480" s="21" t="n"/>
      <c r="F480" s="21" t="n"/>
      <c r="G480" s="21" t="n"/>
      <c r="H480" s="21" t="n"/>
      <c r="I480" s="21" t="n"/>
      <c r="J480" s="21" t="n"/>
    </row>
    <row r="481">
      <c r="D481" s="21" t="n"/>
      <c r="E481" s="21" t="n"/>
      <c r="F481" s="21" t="n"/>
      <c r="G481" s="21" t="n"/>
      <c r="H481" s="21" t="n"/>
      <c r="I481" s="21" t="n"/>
      <c r="J481" s="21" t="n"/>
    </row>
    <row r="482">
      <c r="D482" s="21" t="n"/>
      <c r="E482" s="21" t="n"/>
      <c r="F482" s="21" t="n"/>
      <c r="G482" s="21" t="n"/>
      <c r="H482" s="21" t="n"/>
      <c r="I482" s="21" t="n"/>
      <c r="J482" s="21" t="n"/>
    </row>
    <row r="483">
      <c r="D483" s="21" t="n"/>
      <c r="E483" s="21" t="n"/>
      <c r="F483" s="21" t="n"/>
      <c r="G483" s="21" t="n"/>
      <c r="H483" s="21" t="n"/>
      <c r="I483" s="21" t="n"/>
      <c r="J483" s="21" t="n"/>
    </row>
    <row r="484">
      <c r="D484" s="21" t="n"/>
      <c r="E484" s="21" t="n"/>
      <c r="F484" s="21" t="n"/>
      <c r="G484" s="21" t="n"/>
      <c r="H484" s="21" t="n"/>
      <c r="I484" s="21" t="n"/>
      <c r="J484" s="21" t="n"/>
    </row>
    <row r="485">
      <c r="D485" s="21" t="n"/>
      <c r="E485" s="21" t="n"/>
      <c r="F485" s="21" t="n"/>
      <c r="G485" s="21" t="n"/>
      <c r="H485" s="21" t="n"/>
      <c r="I485" s="21" t="n"/>
      <c r="J485" s="21" t="n"/>
    </row>
    <row r="486">
      <c r="D486" s="21" t="n"/>
      <c r="E486" s="21" t="n"/>
      <c r="F486" s="21" t="n"/>
      <c r="G486" s="21" t="n"/>
      <c r="H486" s="21" t="n"/>
      <c r="I486" s="21" t="n"/>
      <c r="J486" s="21" t="n"/>
    </row>
    <row r="487">
      <c r="D487" s="21" t="n"/>
      <c r="E487" s="21" t="n"/>
      <c r="F487" s="21" t="n"/>
      <c r="G487" s="21" t="n"/>
      <c r="H487" s="21" t="n"/>
      <c r="I487" s="21" t="n"/>
      <c r="J487" s="21" t="n"/>
    </row>
    <row r="488">
      <c r="D488" s="21" t="n"/>
      <c r="E488" s="21" t="n"/>
      <c r="F488" s="21" t="n"/>
      <c r="G488" s="21" t="n"/>
      <c r="H488" s="21" t="n"/>
      <c r="I488" s="21" t="n"/>
      <c r="J488" s="21" t="n"/>
    </row>
    <row r="489">
      <c r="D489" s="21" t="n"/>
      <c r="E489" s="21" t="n"/>
      <c r="F489" s="21" t="n"/>
      <c r="G489" s="21" t="n"/>
      <c r="H489" s="21" t="n"/>
      <c r="I489" s="21" t="n"/>
      <c r="J489" s="21" t="n"/>
    </row>
    <row r="490">
      <c r="D490" s="21" t="n"/>
      <c r="E490" s="21" t="n"/>
      <c r="F490" s="21" t="n"/>
      <c r="G490" s="21" t="n"/>
      <c r="H490" s="21" t="n"/>
      <c r="I490" s="21" t="n"/>
      <c r="J490" s="21" t="n"/>
    </row>
    <row r="491">
      <c r="D491" s="21" t="n"/>
      <c r="E491" s="21" t="n"/>
      <c r="F491" s="21" t="n"/>
      <c r="G491" s="21" t="n"/>
      <c r="H491" s="21" t="n"/>
      <c r="I491" s="21" t="n"/>
      <c r="J491" s="21" t="n"/>
    </row>
    <row r="492">
      <c r="D492" s="21" t="n"/>
      <c r="E492" s="21" t="n"/>
      <c r="F492" s="21" t="n"/>
      <c r="G492" s="21" t="n"/>
      <c r="H492" s="21" t="n"/>
      <c r="I492" s="21" t="n"/>
      <c r="J492" s="21" t="n"/>
    </row>
    <row r="493">
      <c r="D493" s="21" t="n"/>
      <c r="E493" s="21" t="n"/>
      <c r="F493" s="21" t="n"/>
      <c r="G493" s="21" t="n"/>
      <c r="H493" s="21" t="n"/>
      <c r="I493" s="21" t="n"/>
      <c r="J493" s="21" t="n"/>
    </row>
    <row r="494">
      <c r="D494" s="21" t="n"/>
      <c r="E494" s="21" t="n"/>
      <c r="F494" s="21" t="n"/>
      <c r="G494" s="21" t="n"/>
      <c r="H494" s="21" t="n"/>
      <c r="I494" s="21" t="n"/>
      <c r="J494" s="21" t="n"/>
    </row>
    <row r="495">
      <c r="D495" s="21" t="n"/>
      <c r="E495" s="21" t="n"/>
      <c r="F495" s="21" t="n"/>
      <c r="G495" s="21" t="n"/>
      <c r="H495" s="21" t="n"/>
      <c r="I495" s="21" t="n"/>
      <c r="J495" s="21" t="n"/>
    </row>
    <row r="496">
      <c r="D496" s="21" t="n"/>
      <c r="E496" s="21" t="n"/>
      <c r="F496" s="21" t="n"/>
      <c r="G496" s="21" t="n"/>
      <c r="H496" s="21" t="n"/>
      <c r="I496" s="21" t="n"/>
      <c r="J496" s="21" t="n"/>
    </row>
    <row r="497">
      <c r="D497" s="21" t="n"/>
      <c r="E497" s="21" t="n"/>
      <c r="F497" s="21" t="n"/>
      <c r="G497" s="21" t="n"/>
      <c r="H497" s="21" t="n"/>
      <c r="I497" s="21" t="n"/>
      <c r="J497" s="21" t="n"/>
    </row>
    <row r="498">
      <c r="D498" s="21" t="n"/>
      <c r="E498" s="21" t="n"/>
      <c r="F498" s="21" t="n"/>
      <c r="G498" s="21" t="n"/>
      <c r="H498" s="21" t="n"/>
      <c r="I498" s="21" t="n"/>
      <c r="J498" s="21" t="n"/>
    </row>
    <row r="499">
      <c r="D499" s="21" t="n"/>
      <c r="E499" s="21" t="n"/>
      <c r="F499" s="21" t="n"/>
      <c r="G499" s="21" t="n"/>
      <c r="H499" s="21" t="n"/>
      <c r="I499" s="21" t="n"/>
      <c r="J499" s="21" t="n"/>
    </row>
    <row r="500">
      <c r="D500" s="21" t="n"/>
      <c r="E500" s="21" t="n"/>
      <c r="F500" s="21" t="n"/>
      <c r="G500" s="21" t="n"/>
      <c r="H500" s="21" t="n"/>
      <c r="I500" s="21" t="n"/>
      <c r="J500" s="21" t="n"/>
    </row>
    <row r="501">
      <c r="D501" s="21" t="n"/>
      <c r="E501" s="21" t="n"/>
      <c r="F501" s="21" t="n"/>
      <c r="G501" s="21" t="n"/>
      <c r="H501" s="21" t="n"/>
      <c r="I501" s="21" t="n"/>
      <c r="J501" s="21" t="n"/>
    </row>
    <row r="502">
      <c r="D502" s="21" t="n"/>
      <c r="E502" s="21" t="n"/>
      <c r="F502" s="21" t="n"/>
      <c r="G502" s="21" t="n"/>
      <c r="H502" s="21" t="n"/>
      <c r="I502" s="21" t="n"/>
      <c r="J502" s="21" t="n"/>
    </row>
    <row r="503">
      <c r="D503" s="21" t="n"/>
      <c r="E503" s="21" t="n"/>
      <c r="F503" s="21" t="n"/>
      <c r="G503" s="21" t="n"/>
      <c r="H503" s="21" t="n"/>
      <c r="I503" s="21" t="n"/>
      <c r="J503" s="21" t="n"/>
    </row>
    <row r="504">
      <c r="D504" s="21" t="n"/>
      <c r="E504" s="21" t="n"/>
      <c r="F504" s="21" t="n"/>
      <c r="G504" s="21" t="n"/>
      <c r="H504" s="21" t="n"/>
      <c r="I504" s="21" t="n"/>
      <c r="J504" s="21" t="n"/>
    </row>
    <row r="505">
      <c r="D505" s="21" t="n"/>
      <c r="E505" s="21" t="n"/>
      <c r="F505" s="21" t="n"/>
      <c r="G505" s="21" t="n"/>
      <c r="H505" s="21" t="n"/>
      <c r="I505" s="21" t="n"/>
      <c r="J505" s="21" t="n"/>
    </row>
    <row r="506">
      <c r="D506" s="21" t="n"/>
      <c r="E506" s="21" t="n"/>
      <c r="F506" s="21" t="n"/>
      <c r="G506" s="21" t="n"/>
      <c r="H506" s="21" t="n"/>
      <c r="I506" s="21" t="n"/>
      <c r="J506" s="21" t="n"/>
    </row>
    <row r="507">
      <c r="D507" s="21" t="n"/>
      <c r="E507" s="21" t="n"/>
      <c r="F507" s="21" t="n"/>
      <c r="G507" s="21" t="n"/>
      <c r="H507" s="21" t="n"/>
      <c r="I507" s="21" t="n"/>
      <c r="J507" s="21" t="n"/>
    </row>
    <row r="508">
      <c r="D508" s="21" t="n"/>
      <c r="E508" s="21" t="n"/>
      <c r="F508" s="21" t="n"/>
      <c r="G508" s="21" t="n"/>
      <c r="H508" s="21" t="n"/>
      <c r="I508" s="21" t="n"/>
      <c r="J508" s="21" t="n"/>
    </row>
    <row r="509">
      <c r="D509" s="21" t="n"/>
      <c r="E509" s="21" t="n"/>
      <c r="F509" s="21" t="n"/>
      <c r="G509" s="21" t="n"/>
      <c r="H509" s="21" t="n"/>
      <c r="I509" s="21" t="n"/>
      <c r="J509" s="21" t="n"/>
    </row>
    <row r="510">
      <c r="D510" s="21" t="n"/>
      <c r="E510" s="21" t="n"/>
      <c r="F510" s="21" t="n"/>
      <c r="G510" s="21" t="n"/>
      <c r="H510" s="21" t="n"/>
      <c r="I510" s="21" t="n"/>
      <c r="J510" s="21" t="n"/>
    </row>
    <row r="511">
      <c r="D511" s="21" t="n"/>
      <c r="E511" s="21" t="n"/>
      <c r="F511" s="21" t="n"/>
      <c r="G511" s="21" t="n"/>
      <c r="H511" s="21" t="n"/>
      <c r="I511" s="21" t="n"/>
      <c r="J511" s="21" t="n"/>
    </row>
    <row r="512">
      <c r="D512" s="21" t="n"/>
      <c r="E512" s="21" t="n"/>
      <c r="F512" s="21" t="n"/>
      <c r="G512" s="21" t="n"/>
      <c r="H512" s="21" t="n"/>
      <c r="I512" s="21" t="n"/>
      <c r="J512" s="21" t="n"/>
    </row>
    <row r="513">
      <c r="D513" s="21" t="n"/>
      <c r="E513" s="21" t="n"/>
      <c r="F513" s="21" t="n"/>
      <c r="G513" s="21" t="n"/>
      <c r="H513" s="21" t="n"/>
      <c r="I513" s="21" t="n"/>
      <c r="J513" s="21" t="n"/>
    </row>
    <row r="514">
      <c r="D514" s="21" t="n"/>
      <c r="E514" s="21" t="n"/>
      <c r="F514" s="21" t="n"/>
      <c r="G514" s="21" t="n"/>
      <c r="H514" s="21" t="n"/>
      <c r="I514" s="21" t="n"/>
      <c r="J514" s="21" t="n"/>
    </row>
    <row r="515">
      <c r="D515" s="21" t="n"/>
      <c r="E515" s="21" t="n"/>
      <c r="F515" s="21" t="n"/>
      <c r="G515" s="21" t="n"/>
      <c r="H515" s="21" t="n"/>
      <c r="I515" s="21" t="n"/>
      <c r="J515" s="21" t="n"/>
    </row>
    <row r="516">
      <c r="D516" s="21" t="n"/>
      <c r="E516" s="21" t="n"/>
      <c r="F516" s="21" t="n"/>
      <c r="G516" s="21" t="n"/>
      <c r="H516" s="21" t="n"/>
      <c r="I516" s="21" t="n"/>
      <c r="J516" s="21" t="n"/>
    </row>
    <row r="517">
      <c r="D517" s="21" t="n"/>
      <c r="E517" s="21" t="n"/>
      <c r="F517" s="21" t="n"/>
      <c r="G517" s="21" t="n"/>
      <c r="H517" s="21" t="n"/>
      <c r="I517" s="21" t="n"/>
      <c r="J517" s="21" t="n"/>
    </row>
    <row r="518">
      <c r="D518" s="21" t="n"/>
      <c r="E518" s="21" t="n"/>
      <c r="F518" s="21" t="n"/>
      <c r="G518" s="21" t="n"/>
      <c r="H518" s="21" t="n"/>
      <c r="I518" s="21" t="n"/>
      <c r="J518" s="21" t="n"/>
    </row>
    <row r="519">
      <c r="D519" s="21" t="n"/>
      <c r="E519" s="21" t="n"/>
      <c r="F519" s="21" t="n"/>
      <c r="G519" s="21" t="n"/>
      <c r="H519" s="21" t="n"/>
      <c r="I519" s="21" t="n"/>
      <c r="J519" s="21" t="n"/>
    </row>
    <row r="520">
      <c r="D520" s="21" t="n"/>
      <c r="E520" s="21" t="n"/>
      <c r="F520" s="21" t="n"/>
      <c r="G520" s="21" t="n"/>
      <c r="H520" s="21" t="n"/>
      <c r="I520" s="21" t="n"/>
      <c r="J520" s="21" t="n"/>
    </row>
    <row r="521">
      <c r="D521" s="21" t="n"/>
      <c r="E521" s="21" t="n"/>
      <c r="F521" s="21" t="n"/>
      <c r="G521" s="21" t="n"/>
      <c r="H521" s="21" t="n"/>
      <c r="I521" s="21" t="n"/>
      <c r="J521" s="21" t="n"/>
    </row>
    <row r="522">
      <c r="D522" s="21" t="n"/>
      <c r="E522" s="21" t="n"/>
      <c r="F522" s="21" t="n"/>
      <c r="G522" s="21" t="n"/>
      <c r="H522" s="21" t="n"/>
      <c r="I522" s="21" t="n"/>
      <c r="J522" s="21" t="n"/>
    </row>
    <row r="523">
      <c r="D523" s="21" t="n"/>
      <c r="E523" s="21" t="n"/>
      <c r="F523" s="21" t="n"/>
      <c r="G523" s="21" t="n"/>
      <c r="H523" s="21" t="n"/>
      <c r="I523" s="21" t="n"/>
      <c r="J523" s="21" t="n"/>
    </row>
    <row r="524">
      <c r="D524" s="21" t="n"/>
      <c r="E524" s="21" t="n"/>
      <c r="F524" s="21" t="n"/>
      <c r="G524" s="21" t="n"/>
      <c r="H524" s="21" t="n"/>
      <c r="I524" s="21" t="n"/>
      <c r="J524" s="21" t="n"/>
    </row>
    <row r="525">
      <c r="D525" s="21" t="n"/>
      <c r="E525" s="21" t="n"/>
      <c r="F525" s="21" t="n"/>
      <c r="G525" s="21" t="n"/>
      <c r="H525" s="21" t="n"/>
      <c r="I525" s="21" t="n"/>
      <c r="J525" s="21" t="n"/>
    </row>
    <row r="526">
      <c r="D526" s="21" t="n"/>
      <c r="E526" s="21" t="n"/>
      <c r="F526" s="21" t="n"/>
      <c r="G526" s="21" t="n"/>
      <c r="H526" s="21" t="n"/>
      <c r="I526" s="21" t="n"/>
      <c r="J526" s="21" t="n"/>
    </row>
    <row r="527">
      <c r="D527" s="21" t="n"/>
      <c r="E527" s="21" t="n"/>
      <c r="F527" s="21" t="n"/>
      <c r="G527" s="21" t="n"/>
      <c r="H527" s="21" t="n"/>
      <c r="I527" s="21" t="n"/>
      <c r="J527" s="21" t="n"/>
    </row>
    <row r="528">
      <c r="D528" s="21" t="n"/>
      <c r="E528" s="21" t="n"/>
      <c r="F528" s="21" t="n"/>
      <c r="G528" s="21" t="n"/>
      <c r="H528" s="21" t="n"/>
      <c r="I528" s="21" t="n"/>
      <c r="J528" s="21" t="n"/>
    </row>
    <row r="529">
      <c r="D529" s="21" t="n"/>
      <c r="E529" s="21" t="n"/>
      <c r="F529" s="21" t="n"/>
      <c r="G529" s="21" t="n"/>
      <c r="H529" s="21" t="n"/>
      <c r="I529" s="21" t="n"/>
      <c r="J529" s="21" t="n"/>
    </row>
    <row r="530">
      <c r="D530" s="21" t="n"/>
      <c r="E530" s="21" t="n"/>
      <c r="F530" s="21" t="n"/>
      <c r="G530" s="21" t="n"/>
      <c r="H530" s="21" t="n"/>
      <c r="I530" s="21" t="n"/>
      <c r="J530" s="21" t="n"/>
    </row>
    <row r="531">
      <c r="D531" s="21" t="n"/>
      <c r="E531" s="21" t="n"/>
      <c r="F531" s="21" t="n"/>
      <c r="G531" s="21" t="n"/>
      <c r="H531" s="21" t="n"/>
      <c r="I531" s="21" t="n"/>
      <c r="J531" s="21" t="n"/>
    </row>
    <row r="532">
      <c r="D532" s="21" t="n"/>
      <c r="E532" s="21" t="n"/>
      <c r="F532" s="21" t="n"/>
      <c r="G532" s="21" t="n"/>
      <c r="H532" s="21" t="n"/>
      <c r="I532" s="21" t="n"/>
      <c r="J532" s="21" t="n"/>
    </row>
    <row r="533">
      <c r="D533" s="21" t="n"/>
      <c r="E533" s="21" t="n"/>
      <c r="F533" s="21" t="n"/>
      <c r="G533" s="21" t="n"/>
      <c r="H533" s="21" t="n"/>
      <c r="I533" s="21" t="n"/>
      <c r="J533" s="21" t="n"/>
    </row>
    <row r="534">
      <c r="D534" s="21" t="n"/>
      <c r="E534" s="21" t="n"/>
      <c r="F534" s="21" t="n"/>
      <c r="G534" s="21" t="n"/>
      <c r="H534" s="21" t="n"/>
      <c r="I534" s="21" t="n"/>
      <c r="J534" s="21" t="n"/>
    </row>
    <row r="535">
      <c r="D535" s="21" t="n"/>
      <c r="E535" s="21" t="n"/>
      <c r="F535" s="21" t="n"/>
      <c r="G535" s="21" t="n"/>
      <c r="H535" s="21" t="n"/>
      <c r="I535" s="21" t="n"/>
      <c r="J535" s="21" t="n"/>
    </row>
    <row r="536">
      <c r="D536" s="21" t="n"/>
      <c r="E536" s="21" t="n"/>
      <c r="F536" s="21" t="n"/>
      <c r="G536" s="21" t="n"/>
      <c r="H536" s="21" t="n"/>
      <c r="I536" s="21" t="n"/>
      <c r="J536" s="21" t="n"/>
    </row>
    <row r="537">
      <c r="D537" s="21" t="n"/>
      <c r="E537" s="21" t="n"/>
      <c r="F537" s="21" t="n"/>
      <c r="G537" s="21" t="n"/>
      <c r="H537" s="21" t="n"/>
      <c r="I537" s="21" t="n"/>
      <c r="J537" s="21" t="n"/>
    </row>
    <row r="538">
      <c r="D538" s="21" t="n"/>
      <c r="E538" s="21" t="n"/>
      <c r="F538" s="21" t="n"/>
      <c r="G538" s="21" t="n"/>
      <c r="H538" s="21" t="n"/>
      <c r="I538" s="21" t="n"/>
      <c r="J538" s="21" t="n"/>
    </row>
    <row r="539">
      <c r="D539" s="21" t="n"/>
      <c r="E539" s="21" t="n"/>
      <c r="F539" s="21" t="n"/>
      <c r="G539" s="21" t="n"/>
      <c r="H539" s="21" t="n"/>
      <c r="I539" s="21" t="n"/>
      <c r="J539" s="21" t="n"/>
    </row>
    <row r="540">
      <c r="D540" s="21" t="n"/>
      <c r="E540" s="21" t="n"/>
      <c r="F540" s="21" t="n"/>
      <c r="G540" s="21" t="n"/>
      <c r="H540" s="21" t="n"/>
      <c r="I540" s="21" t="n"/>
      <c r="J540" s="21" t="n"/>
    </row>
    <row r="541">
      <c r="D541" s="21" t="n"/>
      <c r="E541" s="21" t="n"/>
      <c r="F541" s="21" t="n"/>
      <c r="G541" s="21" t="n"/>
      <c r="H541" s="21" t="n"/>
      <c r="I541" s="21" t="n"/>
      <c r="J541" s="21" t="n"/>
    </row>
    <row r="542">
      <c r="D542" s="21" t="n"/>
      <c r="E542" s="21" t="n"/>
      <c r="F542" s="21" t="n"/>
      <c r="G542" s="21" t="n"/>
      <c r="H542" s="21" t="n"/>
      <c r="I542" s="21" t="n"/>
      <c r="J542" s="21" t="n"/>
    </row>
    <row r="543">
      <c r="D543" s="21" t="n"/>
      <c r="E543" s="21" t="n"/>
      <c r="F543" s="21" t="n"/>
      <c r="G543" s="21" t="n"/>
      <c r="H543" s="21" t="n"/>
      <c r="I543" s="21" t="n"/>
      <c r="J543" s="21" t="n"/>
    </row>
    <row r="544">
      <c r="D544" s="21" t="n"/>
      <c r="E544" s="21" t="n"/>
      <c r="F544" s="21" t="n"/>
      <c r="G544" s="21" t="n"/>
      <c r="H544" s="21" t="n"/>
      <c r="I544" s="21" t="n"/>
      <c r="J544" s="21" t="n"/>
    </row>
    <row r="545">
      <c r="D545" s="21" t="n"/>
      <c r="E545" s="21" t="n"/>
      <c r="F545" s="21" t="n"/>
      <c r="G545" s="21" t="n"/>
      <c r="H545" s="21" t="n"/>
      <c r="I545" s="21" t="n"/>
      <c r="J545" s="21" t="n"/>
    </row>
    <row r="546">
      <c r="D546" s="21" t="n"/>
      <c r="E546" s="21" t="n"/>
      <c r="F546" s="21" t="n"/>
      <c r="G546" s="21" t="n"/>
      <c r="H546" s="21" t="n"/>
      <c r="I546" s="21" t="n"/>
      <c r="J546" s="21" t="n"/>
    </row>
    <row r="547">
      <c r="D547" s="21" t="n"/>
      <c r="E547" s="21" t="n"/>
      <c r="F547" s="21" t="n"/>
      <c r="G547" s="21" t="n"/>
      <c r="H547" s="21" t="n"/>
      <c r="I547" s="21" t="n"/>
      <c r="J547" s="21" t="n"/>
    </row>
    <row r="548">
      <c r="D548" s="21" t="n"/>
      <c r="E548" s="21" t="n"/>
      <c r="F548" s="21" t="n"/>
      <c r="G548" s="21" t="n"/>
      <c r="H548" s="21" t="n"/>
      <c r="I548" s="21" t="n"/>
      <c r="J548" s="21" t="n"/>
    </row>
    <row r="549">
      <c r="D549" s="21" t="n"/>
      <c r="E549" s="21" t="n"/>
      <c r="F549" s="21" t="n"/>
      <c r="G549" s="21" t="n"/>
      <c r="H549" s="21" t="n"/>
      <c r="I549" s="21" t="n"/>
      <c r="J549" s="21" t="n"/>
    </row>
    <row r="550">
      <c r="D550" s="21" t="n"/>
      <c r="E550" s="21" t="n"/>
      <c r="F550" s="21" t="n"/>
      <c r="G550" s="21" t="n"/>
      <c r="H550" s="21" t="n"/>
      <c r="I550" s="21" t="n"/>
      <c r="J550" s="21" t="n"/>
    </row>
    <row r="551">
      <c r="D551" s="21" t="n"/>
      <c r="E551" s="21" t="n"/>
      <c r="F551" s="21" t="n"/>
      <c r="G551" s="21" t="n"/>
      <c r="H551" s="21" t="n"/>
      <c r="I551" s="21" t="n"/>
      <c r="J551" s="21" t="n"/>
    </row>
    <row r="552">
      <c r="D552" s="21" t="n"/>
      <c r="E552" s="21" t="n"/>
      <c r="F552" s="21" t="n"/>
      <c r="G552" s="21" t="n"/>
      <c r="H552" s="21" t="n"/>
      <c r="I552" s="21" t="n"/>
      <c r="J552" s="21" t="n"/>
    </row>
    <row r="553">
      <c r="D553" s="21" t="n"/>
      <c r="E553" s="21" t="n"/>
      <c r="F553" s="21" t="n"/>
      <c r="G553" s="21" t="n"/>
      <c r="H553" s="21" t="n"/>
      <c r="I553" s="21" t="n"/>
      <c r="J553" s="21" t="n"/>
    </row>
    <row r="554">
      <c r="D554" s="21" t="n"/>
      <c r="E554" s="21" t="n"/>
      <c r="F554" s="21" t="n"/>
      <c r="G554" s="21" t="n"/>
      <c r="H554" s="21" t="n"/>
      <c r="I554" s="21" t="n"/>
      <c r="J554" s="21" t="n"/>
    </row>
    <row r="555">
      <c r="D555" s="21" t="n"/>
      <c r="E555" s="21" t="n"/>
      <c r="F555" s="21" t="n"/>
      <c r="G555" s="21" t="n"/>
      <c r="H555" s="21" t="n"/>
      <c r="I555" s="21" t="n"/>
      <c r="J555" s="21" t="n"/>
    </row>
    <row r="556">
      <c r="D556" s="21" t="n"/>
      <c r="E556" s="21" t="n"/>
      <c r="F556" s="21" t="n"/>
      <c r="G556" s="21" t="n"/>
      <c r="H556" s="21" t="n"/>
      <c r="I556" s="21" t="n"/>
      <c r="J556" s="21" t="n"/>
    </row>
    <row r="557">
      <c r="D557" s="21" t="n"/>
      <c r="E557" s="21" t="n"/>
      <c r="F557" s="21" t="n"/>
      <c r="G557" s="21" t="n"/>
      <c r="H557" s="21" t="n"/>
      <c r="I557" s="21" t="n"/>
      <c r="J557" s="21" t="n"/>
    </row>
    <row r="558">
      <c r="D558" s="21" t="n"/>
      <c r="E558" s="21" t="n"/>
      <c r="F558" s="21" t="n"/>
      <c r="G558" s="21" t="n"/>
      <c r="H558" s="21" t="n"/>
      <c r="I558" s="21" t="n"/>
      <c r="J558" s="21" t="n"/>
    </row>
    <row r="559">
      <c r="D559" s="21" t="n"/>
      <c r="E559" s="21" t="n"/>
      <c r="F559" s="21" t="n"/>
      <c r="G559" s="21" t="n"/>
      <c r="H559" s="21" t="n"/>
      <c r="I559" s="21" t="n"/>
      <c r="J559" s="21" t="n"/>
    </row>
    <row r="560">
      <c r="D560" s="21" t="n"/>
      <c r="E560" s="21" t="n"/>
      <c r="F560" s="21" t="n"/>
      <c r="G560" s="21" t="n"/>
      <c r="H560" s="21" t="n"/>
      <c r="I560" s="21" t="n"/>
      <c r="J560" s="21" t="n"/>
    </row>
    <row r="561">
      <c r="D561" s="21" t="n"/>
      <c r="E561" s="21" t="n"/>
      <c r="F561" s="21" t="n"/>
      <c r="G561" s="21" t="n"/>
      <c r="H561" s="21" t="n"/>
      <c r="I561" s="21" t="n"/>
      <c r="J561" s="21" t="n"/>
    </row>
    <row r="562">
      <c r="D562" s="21" t="n"/>
      <c r="E562" s="21" t="n"/>
      <c r="F562" s="21" t="n"/>
      <c r="G562" s="21" t="n"/>
      <c r="H562" s="21" t="n"/>
      <c r="I562" s="21" t="n"/>
      <c r="J562" s="21" t="n"/>
    </row>
    <row r="563">
      <c r="D563" s="21" t="n"/>
      <c r="E563" s="21" t="n"/>
      <c r="F563" s="21" t="n"/>
      <c r="G563" s="21" t="n"/>
      <c r="H563" s="21" t="n"/>
      <c r="I563" s="21" t="n"/>
      <c r="J563" s="21" t="n"/>
    </row>
    <row r="564">
      <c r="D564" s="21" t="n"/>
      <c r="E564" s="21" t="n"/>
      <c r="F564" s="21" t="n"/>
      <c r="G564" s="21" t="n"/>
      <c r="H564" s="21" t="n"/>
      <c r="I564" s="21" t="n"/>
      <c r="J564" s="21" t="n"/>
    </row>
    <row r="565">
      <c r="D565" s="21" t="n"/>
      <c r="E565" s="21" t="n"/>
      <c r="F565" s="21" t="n"/>
      <c r="G565" s="21" t="n"/>
      <c r="H565" s="21" t="n"/>
      <c r="I565" s="21" t="n"/>
      <c r="J565" s="21" t="n"/>
    </row>
    <row r="566">
      <c r="D566" s="21" t="n"/>
      <c r="E566" s="21" t="n"/>
      <c r="F566" s="21" t="n"/>
      <c r="G566" s="21" t="n"/>
      <c r="H566" s="21" t="n"/>
      <c r="I566" s="21" t="n"/>
      <c r="J566" s="21" t="n"/>
    </row>
    <row r="567">
      <c r="D567" s="21" t="n"/>
      <c r="E567" s="21" t="n"/>
      <c r="F567" s="21" t="n"/>
      <c r="G567" s="21" t="n"/>
      <c r="H567" s="21" t="n"/>
      <c r="I567" s="21" t="n"/>
      <c r="J567" s="21" t="n"/>
    </row>
    <row r="568">
      <c r="D568" s="21" t="n"/>
      <c r="E568" s="21" t="n"/>
      <c r="F568" s="21" t="n"/>
      <c r="G568" s="21" t="n"/>
      <c r="H568" s="21" t="n"/>
      <c r="I568" s="21" t="n"/>
      <c r="J568" s="21" t="n"/>
    </row>
    <row r="569">
      <c r="D569" s="21" t="n"/>
      <c r="E569" s="21" t="n"/>
      <c r="F569" s="21" t="n"/>
      <c r="G569" s="21" t="n"/>
      <c r="H569" s="21" t="n"/>
      <c r="I569" s="21" t="n"/>
      <c r="J569" s="21" t="n"/>
    </row>
    <row r="570">
      <c r="D570" s="21" t="n"/>
      <c r="E570" s="21" t="n"/>
      <c r="F570" s="21" t="n"/>
      <c r="G570" s="21" t="n"/>
      <c r="H570" s="21" t="n"/>
      <c r="I570" s="21" t="n"/>
      <c r="J570" s="21" t="n"/>
    </row>
    <row r="571">
      <c r="D571" s="21" t="n"/>
      <c r="E571" s="21" t="n"/>
      <c r="F571" s="21" t="n"/>
      <c r="G571" s="21" t="n"/>
      <c r="H571" s="21" t="n"/>
      <c r="I571" s="21" t="n"/>
      <c r="J571" s="21" t="n"/>
    </row>
    <row r="572">
      <c r="D572" s="21" t="n"/>
      <c r="E572" s="21" t="n"/>
      <c r="F572" s="21" t="n"/>
      <c r="G572" s="21" t="n"/>
      <c r="H572" s="21" t="n"/>
      <c r="I572" s="21" t="n"/>
      <c r="J572" s="21" t="n"/>
    </row>
    <row r="573">
      <c r="D573" s="21" t="n"/>
      <c r="E573" s="21" t="n"/>
      <c r="F573" s="21" t="n"/>
      <c r="G573" s="21" t="n"/>
      <c r="H573" s="21" t="n"/>
      <c r="I573" s="21" t="n"/>
      <c r="J573" s="21" t="n"/>
    </row>
    <row r="574">
      <c r="D574" s="21" t="n"/>
      <c r="E574" s="21" t="n"/>
      <c r="F574" s="21" t="n"/>
      <c r="G574" s="21" t="n"/>
      <c r="H574" s="21" t="n"/>
      <c r="I574" s="21" t="n"/>
      <c r="J574" s="21" t="n"/>
    </row>
    <row r="575">
      <c r="D575" s="21" t="n"/>
      <c r="E575" s="21" t="n"/>
      <c r="F575" s="21" t="n"/>
      <c r="G575" s="21" t="n"/>
      <c r="H575" s="21" t="n"/>
      <c r="I575" s="21" t="n"/>
      <c r="J575" s="21" t="n"/>
    </row>
    <row r="576">
      <c r="D576" s="21" t="n"/>
      <c r="E576" s="21" t="n"/>
      <c r="F576" s="21" t="n"/>
      <c r="G576" s="21" t="n"/>
      <c r="H576" s="21" t="n"/>
      <c r="I576" s="21" t="n"/>
      <c r="J576" s="21" t="n"/>
    </row>
    <row r="577">
      <c r="D577" s="21" t="n"/>
      <c r="E577" s="21" t="n"/>
      <c r="F577" s="21" t="n"/>
      <c r="G577" s="21" t="n"/>
      <c r="H577" s="21" t="n"/>
      <c r="I577" s="21" t="n"/>
      <c r="J577" s="21" t="n"/>
    </row>
    <row r="578">
      <c r="D578" s="21" t="n"/>
      <c r="E578" s="21" t="n"/>
      <c r="F578" s="21" t="n"/>
      <c r="G578" s="21" t="n"/>
      <c r="H578" s="21" t="n"/>
      <c r="I578" s="21" t="n"/>
      <c r="J578" s="21" t="n"/>
    </row>
    <row r="579">
      <c r="D579" s="21" t="n"/>
      <c r="E579" s="21" t="n"/>
      <c r="F579" s="21" t="n"/>
      <c r="G579" s="21" t="n"/>
      <c r="H579" s="21" t="n"/>
      <c r="I579" s="21" t="n"/>
      <c r="J579" s="21" t="n"/>
    </row>
    <row r="580">
      <c r="D580" s="21" t="n"/>
      <c r="E580" s="21" t="n"/>
      <c r="F580" s="21" t="n"/>
      <c r="G580" s="21" t="n"/>
      <c r="H580" s="21" t="n"/>
      <c r="I580" s="21" t="n"/>
      <c r="J580" s="21" t="n"/>
    </row>
    <row r="581">
      <c r="D581" s="21" t="n"/>
      <c r="E581" s="21" t="n"/>
      <c r="F581" s="21" t="n"/>
      <c r="G581" s="21" t="n"/>
      <c r="H581" s="21" t="n"/>
      <c r="I581" s="21" t="n"/>
      <c r="J581" s="21" t="n"/>
    </row>
    <row r="582">
      <c r="D582" s="21" t="n"/>
      <c r="E582" s="21" t="n"/>
      <c r="F582" s="21" t="n"/>
      <c r="G582" s="21" t="n"/>
      <c r="H582" s="21" t="n"/>
      <c r="I582" s="21" t="n"/>
      <c r="J582" s="21" t="n"/>
    </row>
    <row r="583">
      <c r="D583" s="21" t="n"/>
      <c r="E583" s="21" t="n"/>
      <c r="F583" s="21" t="n"/>
      <c r="G583" s="21" t="n"/>
      <c r="H583" s="21" t="n"/>
      <c r="I583" s="21" t="n"/>
      <c r="J583" s="21" t="n"/>
    </row>
    <row r="584">
      <c r="D584" s="21" t="n"/>
      <c r="E584" s="21" t="n"/>
      <c r="F584" s="21" t="n"/>
      <c r="G584" s="21" t="n"/>
      <c r="H584" s="21" t="n"/>
      <c r="I584" s="21" t="n"/>
      <c r="J584" s="21" t="n"/>
    </row>
    <row r="585">
      <c r="D585" s="21" t="n"/>
      <c r="E585" s="21" t="n"/>
      <c r="F585" s="21" t="n"/>
      <c r="G585" s="21" t="n"/>
      <c r="H585" s="21" t="n"/>
      <c r="I585" s="21" t="n"/>
      <c r="J585" s="21" t="n"/>
    </row>
    <row r="586">
      <c r="D586" s="21" t="n"/>
      <c r="E586" s="21" t="n"/>
      <c r="F586" s="21" t="n"/>
      <c r="G586" s="21" t="n"/>
      <c r="H586" s="21" t="n"/>
      <c r="I586" s="21" t="n"/>
      <c r="J586" s="21" t="n"/>
    </row>
    <row r="587">
      <c r="D587" s="21" t="n"/>
      <c r="E587" s="21" t="n"/>
      <c r="F587" s="21" t="n"/>
      <c r="G587" s="21" t="n"/>
      <c r="H587" s="21" t="n"/>
      <c r="I587" s="21" t="n"/>
      <c r="J587" s="21" t="n"/>
    </row>
    <row r="588">
      <c r="D588" s="21" t="n"/>
      <c r="E588" s="21" t="n"/>
      <c r="F588" s="21" t="n"/>
      <c r="G588" s="21" t="n"/>
      <c r="H588" s="21" t="n"/>
      <c r="I588" s="21" t="n"/>
      <c r="J588" s="21" t="n"/>
    </row>
    <row r="589">
      <c r="D589" s="21" t="n"/>
      <c r="E589" s="21" t="n"/>
      <c r="F589" s="21" t="n"/>
      <c r="G589" s="21" t="n"/>
      <c r="H589" s="21" t="n"/>
      <c r="I589" s="21" t="n"/>
      <c r="J589" s="21" t="n"/>
    </row>
    <row r="590">
      <c r="D590" s="21" t="n"/>
      <c r="E590" s="21" t="n"/>
      <c r="F590" s="21" t="n"/>
      <c r="G590" s="21" t="n"/>
      <c r="H590" s="21" t="n"/>
      <c r="I590" s="21" t="n"/>
      <c r="J590" s="21" t="n"/>
    </row>
    <row r="591">
      <c r="D591" s="21" t="n"/>
      <c r="E591" s="21" t="n"/>
      <c r="F591" s="21" t="n"/>
      <c r="G591" s="21" t="n"/>
      <c r="H591" s="21" t="n"/>
      <c r="I591" s="21" t="n"/>
      <c r="J591" s="21" t="n"/>
    </row>
    <row r="592">
      <c r="D592" s="21" t="n"/>
      <c r="E592" s="21" t="n"/>
      <c r="F592" s="21" t="n"/>
      <c r="G592" s="21" t="n"/>
      <c r="H592" s="21" t="n"/>
      <c r="I592" s="21" t="n"/>
      <c r="J592" s="21" t="n"/>
    </row>
    <row r="593">
      <c r="D593" s="21" t="n"/>
      <c r="E593" s="21" t="n"/>
      <c r="F593" s="21" t="n"/>
      <c r="G593" s="21" t="n"/>
      <c r="H593" s="21" t="n"/>
      <c r="I593" s="21" t="n"/>
      <c r="J593" s="21" t="n"/>
    </row>
    <row r="594">
      <c r="D594" s="21" t="n"/>
      <c r="E594" s="21" t="n"/>
      <c r="F594" s="21" t="n"/>
      <c r="G594" s="21" t="n"/>
      <c r="H594" s="21" t="n"/>
      <c r="I594" s="21" t="n"/>
      <c r="J594" s="21" t="n"/>
    </row>
    <row r="595">
      <c r="D595" s="21" t="n"/>
      <c r="E595" s="21" t="n"/>
      <c r="F595" s="21" t="n"/>
      <c r="G595" s="21" t="n"/>
      <c r="H595" s="21" t="n"/>
      <c r="I595" s="21" t="n"/>
      <c r="J595" s="21" t="n"/>
    </row>
    <row r="596">
      <c r="D596" s="21" t="n"/>
      <c r="E596" s="21" t="n"/>
      <c r="F596" s="21" t="n"/>
      <c r="G596" s="21" t="n"/>
      <c r="H596" s="21" t="n"/>
      <c r="I596" s="21" t="n"/>
      <c r="J596" s="21" t="n"/>
    </row>
    <row r="597">
      <c r="D597" s="21" t="n"/>
      <c r="E597" s="21" t="n"/>
      <c r="F597" s="21" t="n"/>
      <c r="G597" s="21" t="n"/>
      <c r="H597" s="21" t="n"/>
      <c r="I597" s="21" t="n"/>
      <c r="J597" s="21" t="n"/>
    </row>
    <row r="598">
      <c r="D598" s="21" t="n"/>
      <c r="E598" s="21" t="n"/>
      <c r="F598" s="21" t="n"/>
      <c r="G598" s="21" t="n"/>
      <c r="H598" s="21" t="n"/>
      <c r="I598" s="21" t="n"/>
      <c r="J598" s="21" t="n"/>
    </row>
    <row r="599">
      <c r="D599" s="21" t="n"/>
      <c r="E599" s="21" t="n"/>
      <c r="F599" s="21" t="n"/>
      <c r="G599" s="21" t="n"/>
      <c r="H599" s="21" t="n"/>
      <c r="I599" s="21" t="n"/>
      <c r="J599" s="21" t="n"/>
    </row>
    <row r="600">
      <c r="D600" s="21" t="n"/>
      <c r="E600" s="21" t="n"/>
      <c r="F600" s="21" t="n"/>
      <c r="G600" s="21" t="n"/>
      <c r="H600" s="21" t="n"/>
      <c r="I600" s="21" t="n"/>
      <c r="J600" s="21" t="n"/>
    </row>
    <row r="601">
      <c r="D601" s="21" t="n"/>
      <c r="E601" s="21" t="n"/>
      <c r="F601" s="21" t="n"/>
      <c r="G601" s="21" t="n"/>
      <c r="H601" s="21" t="n"/>
      <c r="I601" s="21" t="n"/>
      <c r="J601" s="21" t="n"/>
    </row>
    <row r="602">
      <c r="D602" s="21" t="n"/>
      <c r="E602" s="21" t="n"/>
      <c r="F602" s="21" t="n"/>
      <c r="G602" s="21" t="n"/>
      <c r="H602" s="21" t="n"/>
      <c r="I602" s="21" t="n"/>
      <c r="J602" s="21" t="n"/>
    </row>
    <row r="603">
      <c r="D603" s="21" t="n"/>
      <c r="E603" s="21" t="n"/>
      <c r="F603" s="21" t="n"/>
      <c r="G603" s="21" t="n"/>
      <c r="H603" s="21" t="n"/>
      <c r="I603" s="21" t="n"/>
      <c r="J603" s="21" t="n"/>
    </row>
    <row r="604">
      <c r="D604" s="21" t="n"/>
      <c r="E604" s="21" t="n"/>
      <c r="F604" s="21" t="n"/>
      <c r="G604" s="21" t="n"/>
      <c r="H604" s="21" t="n"/>
      <c r="I604" s="21" t="n"/>
      <c r="J604" s="21" t="n"/>
    </row>
    <row r="605">
      <c r="D605" s="21" t="n"/>
      <c r="E605" s="21" t="n"/>
      <c r="F605" s="21" t="n"/>
      <c r="G605" s="21" t="n"/>
      <c r="H605" s="21" t="n"/>
      <c r="I605" s="21" t="n"/>
      <c r="J605" s="21" t="n"/>
    </row>
    <row r="606">
      <c r="D606" s="21" t="n"/>
      <c r="E606" s="21" t="n"/>
      <c r="F606" s="21" t="n"/>
      <c r="G606" s="21" t="n"/>
      <c r="H606" s="21" t="n"/>
      <c r="I606" s="21" t="n"/>
      <c r="J606" s="21" t="n"/>
    </row>
    <row r="607">
      <c r="D607" s="21" t="n"/>
      <c r="E607" s="21" t="n"/>
      <c r="F607" s="21" t="n"/>
      <c r="G607" s="21" t="n"/>
      <c r="H607" s="21" t="n"/>
      <c r="I607" s="21" t="n"/>
      <c r="J607" s="21" t="n"/>
    </row>
    <row r="608">
      <c r="D608" s="21" t="n"/>
      <c r="E608" s="21" t="n"/>
      <c r="F608" s="21" t="n"/>
      <c r="G608" s="21" t="n"/>
      <c r="H608" s="21" t="n"/>
      <c r="I608" s="21" t="n"/>
      <c r="J608" s="21" t="n"/>
    </row>
    <row r="609">
      <c r="D609" s="21" t="n"/>
      <c r="E609" s="21" t="n"/>
      <c r="F609" s="21" t="n"/>
      <c r="G609" s="21" t="n"/>
      <c r="H609" s="21" t="n"/>
      <c r="I609" s="21" t="n"/>
      <c r="J609" s="21" t="n"/>
    </row>
    <row r="610">
      <c r="D610" s="21" t="n"/>
      <c r="E610" s="21" t="n"/>
      <c r="F610" s="21" t="n"/>
      <c r="G610" s="21" t="n"/>
      <c r="H610" s="21" t="n"/>
      <c r="I610" s="21" t="n"/>
      <c r="J610" s="21" t="n"/>
    </row>
    <row r="611">
      <c r="D611" s="21" t="n"/>
      <c r="E611" s="21" t="n"/>
      <c r="F611" s="21" t="n"/>
      <c r="G611" s="21" t="n"/>
      <c r="H611" s="21" t="n"/>
      <c r="I611" s="21" t="n"/>
      <c r="J611" s="21" t="n"/>
    </row>
    <row r="612">
      <c r="D612" s="21" t="n"/>
      <c r="E612" s="21" t="n"/>
      <c r="F612" s="21" t="n"/>
      <c r="G612" s="21" t="n"/>
      <c r="H612" s="21" t="n"/>
      <c r="I612" s="21" t="n"/>
      <c r="J612" s="21" t="n"/>
    </row>
    <row r="613">
      <c r="D613" s="21" t="n"/>
      <c r="E613" s="21" t="n"/>
      <c r="F613" s="21" t="n"/>
      <c r="G613" s="21" t="n"/>
      <c r="H613" s="21" t="n"/>
      <c r="I613" s="21" t="n"/>
      <c r="J613" s="21" t="n"/>
    </row>
    <row r="614">
      <c r="D614" s="21" t="n"/>
      <c r="E614" s="21" t="n"/>
      <c r="F614" s="21" t="n"/>
      <c r="G614" s="21" t="n"/>
      <c r="H614" s="21" t="n"/>
      <c r="I614" s="21" t="n"/>
      <c r="J614" s="21" t="n"/>
    </row>
    <row r="615">
      <c r="D615" s="21" t="n"/>
      <c r="E615" s="21" t="n"/>
      <c r="F615" s="21" t="n"/>
      <c r="G615" s="21" t="n"/>
      <c r="H615" s="21" t="n"/>
      <c r="I615" s="21" t="n"/>
      <c r="J615" s="21" t="n"/>
    </row>
    <row r="616">
      <c r="D616" s="21" t="n"/>
      <c r="E616" s="21" t="n"/>
      <c r="F616" s="21" t="n"/>
      <c r="G616" s="21" t="n"/>
      <c r="H616" s="21" t="n"/>
      <c r="I616" s="21" t="n"/>
      <c r="J616" s="21" t="n"/>
    </row>
    <row r="617">
      <c r="D617" s="21" t="n"/>
      <c r="E617" s="21" t="n"/>
      <c r="F617" s="21" t="n"/>
      <c r="G617" s="21" t="n"/>
      <c r="H617" s="21" t="n"/>
      <c r="I617" s="21" t="n"/>
      <c r="J617" s="21" t="n"/>
    </row>
    <row r="618">
      <c r="D618" s="21" t="n"/>
      <c r="E618" s="21" t="n"/>
      <c r="F618" s="21" t="n"/>
      <c r="G618" s="21" t="n"/>
      <c r="H618" s="21" t="n"/>
      <c r="I618" s="21" t="n"/>
      <c r="J618" s="21" t="n"/>
    </row>
    <row r="619">
      <c r="D619" s="21" t="n"/>
      <c r="E619" s="21" t="n"/>
      <c r="F619" s="21" t="n"/>
      <c r="G619" s="21" t="n"/>
      <c r="H619" s="21" t="n"/>
      <c r="I619" s="21" t="n"/>
      <c r="J619" s="21" t="n"/>
    </row>
    <row r="620">
      <c r="D620" s="21" t="n"/>
      <c r="E620" s="21" t="n"/>
      <c r="F620" s="21" t="n"/>
      <c r="G620" s="21" t="n"/>
      <c r="H620" s="21" t="n"/>
      <c r="I620" s="21" t="n"/>
      <c r="J620" s="21" t="n"/>
    </row>
    <row r="621">
      <c r="D621" s="21" t="n"/>
      <c r="E621" s="21" t="n"/>
      <c r="F621" s="21" t="n"/>
      <c r="G621" s="21" t="n"/>
      <c r="H621" s="21" t="n"/>
      <c r="I621" s="21" t="n"/>
      <c r="J621" s="21" t="n"/>
    </row>
    <row r="622">
      <c r="D622" s="21" t="n"/>
      <c r="E622" s="21" t="n"/>
      <c r="F622" s="21" t="n"/>
      <c r="G622" s="21" t="n"/>
      <c r="H622" s="21" t="n"/>
      <c r="I622" s="21" t="n"/>
      <c r="J622" s="21" t="n"/>
    </row>
    <row r="623">
      <c r="D623" s="21" t="n"/>
      <c r="E623" s="21" t="n"/>
      <c r="F623" s="21" t="n"/>
      <c r="G623" s="21" t="n"/>
      <c r="H623" s="21" t="n"/>
      <c r="I623" s="21" t="n"/>
      <c r="J623" s="21" t="n"/>
    </row>
    <row r="624">
      <c r="D624" s="21" t="n"/>
      <c r="E624" s="21" t="n"/>
      <c r="F624" s="21" t="n"/>
      <c r="G624" s="21" t="n"/>
      <c r="H624" s="21" t="n"/>
      <c r="I624" s="21" t="n"/>
      <c r="J624" s="21" t="n"/>
    </row>
    <row r="625">
      <c r="D625" s="21" t="n"/>
      <c r="E625" s="21" t="n"/>
      <c r="F625" s="21" t="n"/>
      <c r="G625" s="21" t="n"/>
      <c r="H625" s="21" t="n"/>
      <c r="I625" s="21" t="n"/>
      <c r="J625" s="21" t="n"/>
    </row>
    <row r="626">
      <c r="D626" s="21" t="n"/>
      <c r="E626" s="21" t="n"/>
      <c r="F626" s="21" t="n"/>
      <c r="G626" s="21" t="n"/>
      <c r="H626" s="21" t="n"/>
      <c r="I626" s="21" t="n"/>
      <c r="J626" s="21" t="n"/>
    </row>
    <row r="627">
      <c r="D627" s="21" t="n"/>
      <c r="E627" s="21" t="n"/>
      <c r="F627" s="21" t="n"/>
      <c r="G627" s="21" t="n"/>
      <c r="H627" s="21" t="n"/>
      <c r="I627" s="21" t="n"/>
      <c r="J627" s="21" t="n"/>
    </row>
    <row r="628">
      <c r="D628" s="21" t="n"/>
      <c r="E628" s="21" t="n"/>
      <c r="F628" s="21" t="n"/>
      <c r="G628" s="21" t="n"/>
      <c r="H628" s="21" t="n"/>
      <c r="I628" s="21" t="n"/>
      <c r="J628" s="21" t="n"/>
    </row>
    <row r="629">
      <c r="D629" s="21" t="n"/>
      <c r="E629" s="21" t="n"/>
      <c r="F629" s="21" t="n"/>
      <c r="G629" s="21" t="n"/>
      <c r="H629" s="21" t="n"/>
      <c r="I629" s="21" t="n"/>
      <c r="J629" s="21" t="n"/>
    </row>
    <row r="630">
      <c r="D630" s="21" t="n"/>
      <c r="E630" s="21" t="n"/>
      <c r="F630" s="21" t="n"/>
      <c r="G630" s="21" t="n"/>
      <c r="H630" s="21" t="n"/>
      <c r="I630" s="21" t="n"/>
      <c r="J630" s="21" t="n"/>
    </row>
    <row r="631">
      <c r="D631" s="21" t="n"/>
      <c r="E631" s="21" t="n"/>
      <c r="F631" s="21" t="n"/>
      <c r="G631" s="21" t="n"/>
      <c r="H631" s="21" t="n"/>
      <c r="I631" s="21" t="n"/>
      <c r="J631" s="21" t="n"/>
    </row>
    <row r="632">
      <c r="D632" s="21" t="n"/>
      <c r="E632" s="21" t="n"/>
      <c r="F632" s="21" t="n"/>
      <c r="G632" s="21" t="n"/>
      <c r="H632" s="21" t="n"/>
      <c r="I632" s="21" t="n"/>
      <c r="J632" s="21" t="n"/>
    </row>
    <row r="633">
      <c r="D633" s="21" t="n"/>
      <c r="E633" s="21" t="n"/>
      <c r="F633" s="21" t="n"/>
      <c r="G633" s="21" t="n"/>
      <c r="H633" s="21" t="n"/>
      <c r="I633" s="21" t="n"/>
      <c r="J633" s="21" t="n"/>
    </row>
    <row r="634">
      <c r="D634" s="21" t="n"/>
      <c r="E634" s="21" t="n"/>
      <c r="F634" s="21" t="n"/>
      <c r="G634" s="21" t="n"/>
      <c r="H634" s="21" t="n"/>
      <c r="I634" s="21" t="n"/>
      <c r="J634" s="21" t="n"/>
    </row>
    <row r="635">
      <c r="D635" s="21" t="n"/>
      <c r="E635" s="21" t="n"/>
      <c r="F635" s="21" t="n"/>
      <c r="G635" s="21" t="n"/>
      <c r="H635" s="21" t="n"/>
      <c r="I635" s="21" t="n"/>
      <c r="J635" s="21" t="n"/>
    </row>
    <row r="636">
      <c r="D636" s="21" t="n"/>
      <c r="E636" s="21" t="n"/>
      <c r="F636" s="21" t="n"/>
      <c r="G636" s="21" t="n"/>
      <c r="H636" s="21" t="n"/>
      <c r="I636" s="21" t="n"/>
      <c r="J636" s="21" t="n"/>
    </row>
    <row r="637">
      <c r="D637" s="21" t="n"/>
      <c r="E637" s="21" t="n"/>
      <c r="F637" s="21" t="n"/>
      <c r="G637" s="21" t="n"/>
      <c r="H637" s="21" t="n"/>
      <c r="I637" s="21" t="n"/>
      <c r="J637" s="21" t="n"/>
    </row>
    <row r="638">
      <c r="D638" s="21" t="n"/>
      <c r="E638" s="21" t="n"/>
      <c r="F638" s="21" t="n"/>
      <c r="G638" s="21" t="n"/>
      <c r="H638" s="21" t="n"/>
      <c r="I638" s="21" t="n"/>
      <c r="J638" s="21" t="n"/>
    </row>
    <row r="639">
      <c r="D639" s="21" t="n"/>
      <c r="E639" s="21" t="n"/>
      <c r="F639" s="21" t="n"/>
      <c r="G639" s="21" t="n"/>
      <c r="H639" s="21" t="n"/>
      <c r="I639" s="21" t="n"/>
      <c r="J639" s="21" t="n"/>
    </row>
    <row r="640">
      <c r="D640" s="21" t="n"/>
      <c r="E640" s="21" t="n"/>
      <c r="F640" s="21" t="n"/>
      <c r="G640" s="21" t="n"/>
      <c r="H640" s="21" t="n"/>
      <c r="I640" s="21" t="n"/>
      <c r="J640" s="21" t="n"/>
    </row>
    <row r="641">
      <c r="D641" s="21" t="n"/>
      <c r="E641" s="21" t="n"/>
      <c r="F641" s="21" t="n"/>
      <c r="G641" s="21" t="n"/>
      <c r="H641" s="21" t="n"/>
      <c r="I641" s="21" t="n"/>
      <c r="J641" s="21" t="n"/>
    </row>
    <row r="642">
      <c r="D642" s="21" t="n"/>
      <c r="E642" s="21" t="n"/>
      <c r="F642" s="21" t="n"/>
      <c r="G642" s="21" t="n"/>
      <c r="H642" s="21" t="n"/>
      <c r="I642" s="21" t="n"/>
      <c r="J642" s="21" t="n"/>
    </row>
    <row r="643">
      <c r="D643" s="21" t="n"/>
      <c r="E643" s="21" t="n"/>
      <c r="F643" s="21" t="n"/>
      <c r="G643" s="21" t="n"/>
      <c r="H643" s="21" t="n"/>
      <c r="I643" s="21" t="n"/>
      <c r="J643" s="21" t="n"/>
    </row>
    <row r="644">
      <c r="D644" s="21" t="n"/>
      <c r="E644" s="21" t="n"/>
      <c r="F644" s="21" t="n"/>
      <c r="G644" s="21" t="n"/>
      <c r="H644" s="21" t="n"/>
      <c r="I644" s="21" t="n"/>
      <c r="J644" s="21" t="n"/>
    </row>
    <row r="645">
      <c r="D645" s="21" t="n"/>
      <c r="E645" s="21" t="n"/>
      <c r="F645" s="21" t="n"/>
      <c r="G645" s="21" t="n"/>
      <c r="H645" s="21" t="n"/>
      <c r="I645" s="21" t="n"/>
      <c r="J645" s="21" t="n"/>
    </row>
    <row r="646">
      <c r="D646" s="21" t="n"/>
      <c r="E646" s="21" t="n"/>
      <c r="F646" s="21" t="n"/>
      <c r="G646" s="21" t="n"/>
      <c r="H646" s="21" t="n"/>
      <c r="I646" s="21" t="n"/>
      <c r="J646" s="21" t="n"/>
    </row>
    <row r="647">
      <c r="D647" s="21" t="n"/>
      <c r="E647" s="21" t="n"/>
      <c r="F647" s="21" t="n"/>
      <c r="G647" s="21" t="n"/>
      <c r="H647" s="21" t="n"/>
      <c r="I647" s="21" t="n"/>
      <c r="J647" s="21" t="n"/>
    </row>
    <row r="648">
      <c r="D648" s="21" t="n"/>
      <c r="E648" s="21" t="n"/>
      <c r="F648" s="21" t="n"/>
      <c r="G648" s="21" t="n"/>
      <c r="H648" s="21" t="n"/>
      <c r="I648" s="21" t="n"/>
      <c r="J648" s="21" t="n"/>
    </row>
    <row r="649">
      <c r="D649" s="21" t="n"/>
      <c r="E649" s="21" t="n"/>
      <c r="F649" s="21" t="n"/>
      <c r="G649" s="21" t="n"/>
      <c r="H649" s="21" t="n"/>
      <c r="I649" s="21" t="n"/>
      <c r="J649" s="21" t="n"/>
    </row>
    <row r="650">
      <c r="D650" s="21" t="n"/>
      <c r="E650" s="21" t="n"/>
      <c r="F650" s="21" t="n"/>
      <c r="G650" s="21" t="n"/>
      <c r="H650" s="21" t="n"/>
      <c r="I650" s="21" t="n"/>
      <c r="J650" s="21" t="n"/>
    </row>
    <row r="651">
      <c r="D651" s="21" t="n"/>
      <c r="E651" s="21" t="n"/>
      <c r="F651" s="21" t="n"/>
      <c r="G651" s="21" t="n"/>
      <c r="H651" s="21" t="n"/>
      <c r="I651" s="21" t="n"/>
      <c r="J651" s="21" t="n"/>
    </row>
    <row r="652">
      <c r="D652" s="21" t="n"/>
      <c r="E652" s="21" t="n"/>
      <c r="F652" s="21" t="n"/>
      <c r="G652" s="21" t="n"/>
      <c r="H652" s="21" t="n"/>
      <c r="I652" s="21" t="n"/>
      <c r="J652" s="21" t="n"/>
    </row>
    <row r="653">
      <c r="D653" s="21" t="n"/>
      <c r="E653" s="21" t="n"/>
      <c r="F653" s="21" t="n"/>
      <c r="G653" s="21" t="n"/>
      <c r="H653" s="21" t="n"/>
      <c r="I653" s="21" t="n"/>
      <c r="J653" s="21" t="n"/>
    </row>
    <row r="654">
      <c r="D654" s="21" t="n"/>
      <c r="E654" s="21" t="n"/>
      <c r="F654" s="21" t="n"/>
      <c r="G654" s="21" t="n"/>
      <c r="H654" s="21" t="n"/>
      <c r="I654" s="21" t="n"/>
      <c r="J654" s="21" t="n"/>
    </row>
    <row r="655">
      <c r="D655" s="21" t="n"/>
      <c r="E655" s="21" t="n"/>
      <c r="F655" s="21" t="n"/>
      <c r="G655" s="21" t="n"/>
      <c r="H655" s="21" t="n"/>
      <c r="I655" s="21" t="n"/>
      <c r="J655" s="21" t="n"/>
    </row>
    <row r="656">
      <c r="D656" s="21" t="n"/>
      <c r="E656" s="21" t="n"/>
      <c r="F656" s="21" t="n"/>
      <c r="G656" s="21" t="n"/>
      <c r="H656" s="21" t="n"/>
      <c r="I656" s="21" t="n"/>
      <c r="J656" s="21" t="n"/>
    </row>
    <row r="657">
      <c r="D657" s="21" t="n"/>
      <c r="E657" s="21" t="n"/>
      <c r="F657" s="21" t="n"/>
      <c r="G657" s="21" t="n"/>
      <c r="H657" s="21" t="n"/>
      <c r="I657" s="21" t="n"/>
      <c r="J657" s="21" t="n"/>
    </row>
    <row r="658">
      <c r="D658" s="21" t="n"/>
      <c r="E658" s="21" t="n"/>
      <c r="F658" s="21" t="n"/>
      <c r="G658" s="21" t="n"/>
      <c r="H658" s="21" t="n"/>
      <c r="I658" s="21" t="n"/>
      <c r="J658" s="21" t="n"/>
    </row>
    <row r="659">
      <c r="D659" s="21" t="n"/>
      <c r="E659" s="21" t="n"/>
      <c r="F659" s="21" t="n"/>
      <c r="G659" s="21" t="n"/>
      <c r="H659" s="21" t="n"/>
      <c r="I659" s="21" t="n"/>
      <c r="J659" s="21" t="n"/>
    </row>
    <row r="660">
      <c r="D660" s="21" t="n"/>
      <c r="E660" s="21" t="n"/>
      <c r="F660" s="21" t="n"/>
      <c r="G660" s="21" t="n"/>
      <c r="H660" s="21" t="n"/>
      <c r="I660" s="21" t="n"/>
      <c r="J660" s="21" t="n"/>
    </row>
    <row r="661">
      <c r="D661" s="21" t="n"/>
      <c r="E661" s="21" t="n"/>
      <c r="F661" s="21" t="n"/>
      <c r="G661" s="21" t="n"/>
      <c r="H661" s="21" t="n"/>
      <c r="I661" s="21" t="n"/>
      <c r="J661" s="21" t="n"/>
    </row>
    <row r="662">
      <c r="D662" s="21" t="n"/>
      <c r="E662" s="21" t="n"/>
      <c r="F662" s="21" t="n"/>
      <c r="G662" s="21" t="n"/>
      <c r="H662" s="21" t="n"/>
      <c r="I662" s="21" t="n"/>
      <c r="J662" s="21" t="n"/>
    </row>
    <row r="663">
      <c r="D663" s="21" t="n"/>
      <c r="E663" s="21" t="n"/>
      <c r="F663" s="21" t="n"/>
      <c r="G663" s="21" t="n"/>
      <c r="H663" s="21" t="n"/>
      <c r="I663" s="21" t="n"/>
      <c r="J663" s="21" t="n"/>
    </row>
    <row r="664">
      <c r="D664" s="21" t="n"/>
      <c r="E664" s="21" t="n"/>
      <c r="F664" s="21" t="n"/>
      <c r="G664" s="21" t="n"/>
      <c r="H664" s="21" t="n"/>
      <c r="I664" s="21" t="n"/>
      <c r="J664" s="21" t="n"/>
    </row>
    <row r="665">
      <c r="D665" s="21" t="n"/>
      <c r="E665" s="21" t="n"/>
      <c r="F665" s="21" t="n"/>
      <c r="G665" s="21" t="n"/>
      <c r="H665" s="21" t="n"/>
      <c r="I665" s="21" t="n"/>
      <c r="J665" s="21" t="n"/>
    </row>
    <row r="666">
      <c r="D666" s="21" t="n"/>
      <c r="E666" s="21" t="n"/>
      <c r="F666" s="21" t="n"/>
      <c r="G666" s="21" t="n"/>
      <c r="H666" s="21" t="n"/>
      <c r="I666" s="21" t="n"/>
      <c r="J666" s="21" t="n"/>
    </row>
    <row r="667">
      <c r="D667" s="21" t="n"/>
      <c r="E667" s="21" t="n"/>
      <c r="F667" s="21" t="n"/>
      <c r="G667" s="21" t="n"/>
      <c r="H667" s="21" t="n"/>
      <c r="I667" s="21" t="n"/>
      <c r="J667" s="21" t="n"/>
    </row>
    <row r="668">
      <c r="D668" s="21" t="n"/>
      <c r="E668" s="21" t="n"/>
      <c r="F668" s="21" t="n"/>
      <c r="G668" s="21" t="n"/>
      <c r="H668" s="21" t="n"/>
      <c r="I668" s="21" t="n"/>
      <c r="J668" s="21" t="n"/>
    </row>
    <row r="669">
      <c r="D669" s="21" t="n"/>
      <c r="E669" s="21" t="n"/>
      <c r="F669" s="21" t="n"/>
      <c r="G669" s="21" t="n"/>
      <c r="H669" s="21" t="n"/>
      <c r="I669" s="21" t="n"/>
      <c r="J669" s="21" t="n"/>
    </row>
    <row r="670">
      <c r="D670" s="21" t="n"/>
      <c r="E670" s="21" t="n"/>
      <c r="F670" s="21" t="n"/>
      <c r="G670" s="21" t="n"/>
      <c r="H670" s="21" t="n"/>
      <c r="I670" s="21" t="n"/>
      <c r="J670" s="21" t="n"/>
    </row>
    <row r="671">
      <c r="D671" s="21" t="n"/>
      <c r="E671" s="21" t="n"/>
      <c r="F671" s="21" t="n"/>
      <c r="G671" s="21" t="n"/>
      <c r="H671" s="21" t="n"/>
      <c r="I671" s="21" t="n"/>
      <c r="J671" s="21" t="n"/>
    </row>
    <row r="672">
      <c r="D672" s="21" t="n"/>
      <c r="E672" s="21" t="n"/>
      <c r="F672" s="21" t="n"/>
      <c r="G672" s="21" t="n"/>
      <c r="H672" s="21" t="n"/>
      <c r="I672" s="21" t="n"/>
      <c r="J672" s="21" t="n"/>
    </row>
    <row r="673">
      <c r="D673" s="21" t="n"/>
      <c r="E673" s="21" t="n"/>
      <c r="F673" s="21" t="n"/>
      <c r="G673" s="21" t="n"/>
      <c r="H673" s="21" t="n"/>
      <c r="I673" s="21" t="n"/>
      <c r="J673" s="21" t="n"/>
    </row>
    <row r="674">
      <c r="D674" s="21" t="n"/>
      <c r="E674" s="21" t="n"/>
      <c r="F674" s="21" t="n"/>
      <c r="G674" s="21" t="n"/>
      <c r="H674" s="21" t="n"/>
      <c r="I674" s="21" t="n"/>
      <c r="J674" s="21" t="n"/>
    </row>
    <row r="675">
      <c r="D675" s="21" t="n"/>
      <c r="E675" s="21" t="n"/>
      <c r="F675" s="21" t="n"/>
      <c r="G675" s="21" t="n"/>
      <c r="H675" s="21" t="n"/>
      <c r="I675" s="21" t="n"/>
      <c r="J675" s="21" t="n"/>
    </row>
    <row r="676">
      <c r="D676" s="21" t="n"/>
      <c r="E676" s="21" t="n"/>
      <c r="F676" s="21" t="n"/>
      <c r="G676" s="21" t="n"/>
      <c r="H676" s="21" t="n"/>
      <c r="I676" s="21" t="n"/>
      <c r="J676" s="21" t="n"/>
    </row>
    <row r="677">
      <c r="D677" s="21" t="n"/>
      <c r="E677" s="21" t="n"/>
      <c r="F677" s="21" t="n"/>
      <c r="G677" s="21" t="n"/>
      <c r="H677" s="21" t="n"/>
      <c r="I677" s="21" t="n"/>
      <c r="J677" s="21" t="n"/>
    </row>
    <row r="678">
      <c r="D678" s="21" t="n"/>
      <c r="E678" s="21" t="n"/>
      <c r="F678" s="21" t="n"/>
      <c r="G678" s="21" t="n"/>
      <c r="H678" s="21" t="n"/>
      <c r="I678" s="21" t="n"/>
      <c r="J678" s="21" t="n"/>
    </row>
    <row r="679">
      <c r="D679" s="21" t="n"/>
      <c r="E679" s="21" t="n"/>
      <c r="F679" s="21" t="n"/>
      <c r="G679" s="21" t="n"/>
      <c r="H679" s="21" t="n"/>
      <c r="I679" s="21" t="n"/>
      <c r="J679" s="21" t="n"/>
    </row>
    <row r="680">
      <c r="D680" s="21" t="n"/>
      <c r="E680" s="21" t="n"/>
      <c r="F680" s="21" t="n"/>
      <c r="G680" s="21" t="n"/>
      <c r="H680" s="21" t="n"/>
      <c r="I680" s="21" t="n"/>
      <c r="J680" s="21" t="n"/>
    </row>
    <row r="681">
      <c r="D681" s="21" t="n"/>
      <c r="E681" s="21" t="n"/>
      <c r="F681" s="21" t="n"/>
      <c r="G681" s="21" t="n"/>
      <c r="H681" s="21" t="n"/>
      <c r="I681" s="21" t="n"/>
      <c r="J681" s="21" t="n"/>
    </row>
    <row r="682">
      <c r="D682" s="21" t="n"/>
      <c r="E682" s="21" t="n"/>
      <c r="F682" s="21" t="n"/>
      <c r="G682" s="21" t="n"/>
      <c r="H682" s="21" t="n"/>
      <c r="I682" s="21" t="n"/>
      <c r="J682" s="21" t="n"/>
    </row>
    <row r="683">
      <c r="D683" s="21" t="n"/>
      <c r="E683" s="21" t="n"/>
      <c r="F683" s="21" t="n"/>
      <c r="G683" s="21" t="n"/>
      <c r="H683" s="21" t="n"/>
      <c r="I683" s="21" t="n"/>
      <c r="J683" s="21" t="n"/>
    </row>
    <row r="684">
      <c r="D684" s="21" t="n"/>
      <c r="E684" s="21" t="n"/>
      <c r="F684" s="21" t="n"/>
      <c r="G684" s="21" t="n"/>
      <c r="H684" s="21" t="n"/>
      <c r="I684" s="21" t="n"/>
      <c r="J684" s="21" t="n"/>
    </row>
    <row r="685">
      <c r="D685" s="21" t="n"/>
      <c r="E685" s="21" t="n"/>
      <c r="F685" s="21" t="n"/>
      <c r="G685" s="21" t="n"/>
      <c r="H685" s="21" t="n"/>
      <c r="I685" s="21" t="n"/>
      <c r="J685" s="21" t="n"/>
    </row>
    <row r="686">
      <c r="D686" s="21" t="n"/>
      <c r="E686" s="21" t="n"/>
      <c r="F686" s="21" t="n"/>
      <c r="G686" s="21" t="n"/>
      <c r="H686" s="21" t="n"/>
      <c r="I686" s="21" t="n"/>
      <c r="J686" s="21" t="n"/>
    </row>
    <row r="687">
      <c r="D687" s="21" t="n"/>
      <c r="E687" s="21" t="n"/>
      <c r="F687" s="21" t="n"/>
      <c r="G687" s="21" t="n"/>
      <c r="H687" s="21" t="n"/>
      <c r="I687" s="21" t="n"/>
      <c r="J687" s="21" t="n"/>
    </row>
    <row r="688">
      <c r="D688" s="21" t="n"/>
      <c r="E688" s="21" t="n"/>
      <c r="F688" s="21" t="n"/>
      <c r="G688" s="21" t="n"/>
      <c r="H688" s="21" t="n"/>
      <c r="I688" s="21" t="n"/>
      <c r="J688" s="21" t="n"/>
    </row>
    <row r="689">
      <c r="D689" s="21" t="n"/>
      <c r="E689" s="21" t="n"/>
      <c r="F689" s="21" t="n"/>
      <c r="G689" s="21" t="n"/>
      <c r="H689" s="21" t="n"/>
      <c r="I689" s="21" t="n"/>
      <c r="J689" s="21" t="n"/>
    </row>
    <row r="690">
      <c r="D690" s="21" t="n"/>
      <c r="E690" s="21" t="n"/>
      <c r="F690" s="21" t="n"/>
      <c r="G690" s="21" t="n"/>
      <c r="H690" s="21" t="n"/>
      <c r="I690" s="21" t="n"/>
      <c r="J690" s="21" t="n"/>
    </row>
    <row r="691">
      <c r="D691" s="21" t="n"/>
      <c r="E691" s="21" t="n"/>
      <c r="F691" s="21" t="n"/>
      <c r="G691" s="21" t="n"/>
      <c r="H691" s="21" t="n"/>
      <c r="I691" s="21" t="n"/>
      <c r="J691" s="21" t="n"/>
    </row>
    <row r="692">
      <c r="D692" s="21" t="n"/>
      <c r="E692" s="21" t="n"/>
      <c r="F692" s="21" t="n"/>
      <c r="G692" s="21" t="n"/>
      <c r="H692" s="21" t="n"/>
      <c r="I692" s="21" t="n"/>
      <c r="J692" s="21" t="n"/>
    </row>
    <row r="693">
      <c r="D693" s="21" t="n"/>
      <c r="E693" s="21" t="n"/>
      <c r="F693" s="21" t="n"/>
      <c r="G693" s="21" t="n"/>
      <c r="H693" s="21" t="n"/>
      <c r="I693" s="21" t="n"/>
      <c r="J693" s="21" t="n"/>
    </row>
    <row r="694">
      <c r="D694" s="21" t="n"/>
      <c r="E694" s="21" t="n"/>
      <c r="F694" s="21" t="n"/>
      <c r="G694" s="21" t="n"/>
      <c r="H694" s="21" t="n"/>
      <c r="I694" s="21" t="n"/>
      <c r="J694" s="21" t="n"/>
    </row>
    <row r="695">
      <c r="D695" s="21" t="n"/>
      <c r="E695" s="21" t="n"/>
      <c r="F695" s="21" t="n"/>
      <c r="G695" s="21" t="n"/>
      <c r="H695" s="21" t="n"/>
      <c r="I695" s="21" t="n"/>
      <c r="J695" s="21" t="n"/>
    </row>
    <row r="696">
      <c r="D696" s="21" t="n"/>
      <c r="E696" s="21" t="n"/>
      <c r="F696" s="21" t="n"/>
      <c r="G696" s="21" t="n"/>
      <c r="H696" s="21" t="n"/>
      <c r="I696" s="21" t="n"/>
      <c r="J696" s="21" t="n"/>
    </row>
    <row r="697">
      <c r="D697" s="21" t="n"/>
      <c r="E697" s="21" t="n"/>
      <c r="F697" s="21" t="n"/>
      <c r="G697" s="21" t="n"/>
      <c r="H697" s="21" t="n"/>
      <c r="I697" s="21" t="n"/>
      <c r="J697" s="21" t="n"/>
    </row>
    <row r="698">
      <c r="D698" s="21" t="n"/>
      <c r="E698" s="21" t="n"/>
      <c r="F698" s="21" t="n"/>
      <c r="G698" s="21" t="n"/>
      <c r="H698" s="21" t="n"/>
      <c r="I698" s="21" t="n"/>
      <c r="J698" s="21" t="n"/>
    </row>
    <row r="699">
      <c r="D699" s="21" t="n"/>
      <c r="E699" s="21" t="n"/>
      <c r="F699" s="21" t="n"/>
      <c r="G699" s="21" t="n"/>
      <c r="H699" s="21" t="n"/>
      <c r="I699" s="21" t="n"/>
      <c r="J699" s="21" t="n"/>
    </row>
    <row r="700">
      <c r="D700" s="21" t="n"/>
      <c r="E700" s="21" t="n"/>
      <c r="F700" s="21" t="n"/>
      <c r="G700" s="21" t="n"/>
      <c r="H700" s="21" t="n"/>
      <c r="I700" s="21" t="n"/>
      <c r="J700" s="21" t="n"/>
    </row>
    <row r="701">
      <c r="D701" s="21" t="n"/>
      <c r="E701" s="21" t="n"/>
      <c r="F701" s="21" t="n"/>
      <c r="G701" s="21" t="n"/>
      <c r="H701" s="21" t="n"/>
      <c r="I701" s="21" t="n"/>
      <c r="J701" s="21" t="n"/>
    </row>
    <row r="702">
      <c r="D702" s="21" t="n"/>
      <c r="E702" s="21" t="n"/>
      <c r="F702" s="21" t="n"/>
      <c r="G702" s="21" t="n"/>
      <c r="H702" s="21" t="n"/>
      <c r="I702" s="21" t="n"/>
      <c r="J702" s="21" t="n"/>
    </row>
    <row r="703">
      <c r="D703" s="21" t="n"/>
      <c r="E703" s="21" t="n"/>
      <c r="F703" s="21" t="n"/>
      <c r="G703" s="21" t="n"/>
      <c r="H703" s="21" t="n"/>
      <c r="I703" s="21" t="n"/>
      <c r="J703" s="21" t="n"/>
    </row>
    <row r="704">
      <c r="D704" s="21" t="n"/>
      <c r="E704" s="21" t="n"/>
      <c r="F704" s="21" t="n"/>
      <c r="G704" s="21" t="n"/>
      <c r="H704" s="21" t="n"/>
      <c r="I704" s="21" t="n"/>
      <c r="J704" s="21" t="n"/>
    </row>
    <row r="705">
      <c r="D705" s="21" t="n"/>
      <c r="E705" s="21" t="n"/>
      <c r="F705" s="21" t="n"/>
      <c r="G705" s="21" t="n"/>
      <c r="H705" s="21" t="n"/>
      <c r="I705" s="21" t="n"/>
      <c r="J705" s="21" t="n"/>
    </row>
    <row r="706">
      <c r="D706" s="21" t="n"/>
      <c r="E706" s="21" t="n"/>
      <c r="F706" s="21" t="n"/>
      <c r="G706" s="21" t="n"/>
      <c r="H706" s="21" t="n"/>
      <c r="I706" s="21" t="n"/>
      <c r="J706" s="21" t="n"/>
    </row>
    <row r="707">
      <c r="D707" s="21" t="n"/>
      <c r="E707" s="21" t="n"/>
      <c r="F707" s="21" t="n"/>
      <c r="G707" s="21" t="n"/>
      <c r="H707" s="21" t="n"/>
      <c r="I707" s="21" t="n"/>
      <c r="J707" s="21" t="n"/>
    </row>
    <row r="708">
      <c r="D708" s="21" t="n"/>
      <c r="E708" s="21" t="n"/>
      <c r="F708" s="21" t="n"/>
      <c r="G708" s="21" t="n"/>
      <c r="H708" s="21" t="n"/>
      <c r="I708" s="21" t="n"/>
      <c r="J708" s="21" t="n"/>
    </row>
    <row r="709">
      <c r="D709" s="21" t="n"/>
      <c r="E709" s="21" t="n"/>
      <c r="F709" s="21" t="n"/>
      <c r="G709" s="21" t="n"/>
      <c r="H709" s="21" t="n"/>
      <c r="I709" s="21" t="n"/>
      <c r="J709" s="21" t="n"/>
    </row>
    <row r="710">
      <c r="D710" s="21" t="n"/>
      <c r="E710" s="21" t="n"/>
      <c r="F710" s="21" t="n"/>
      <c r="G710" s="21" t="n"/>
      <c r="H710" s="21" t="n"/>
      <c r="I710" s="21" t="n"/>
      <c r="J710" s="21" t="n"/>
    </row>
    <row r="711">
      <c r="D711" s="21" t="n"/>
      <c r="E711" s="21" t="n"/>
      <c r="F711" s="21" t="n"/>
      <c r="G711" s="21" t="n"/>
      <c r="H711" s="21" t="n"/>
      <c r="I711" s="21" t="n"/>
      <c r="J711" s="21" t="n"/>
    </row>
    <row r="712">
      <c r="D712" s="21" t="n"/>
      <c r="E712" s="21" t="n"/>
      <c r="F712" s="21" t="n"/>
      <c r="G712" s="21" t="n"/>
      <c r="H712" s="21" t="n"/>
      <c r="I712" s="21" t="n"/>
      <c r="J712" s="21" t="n"/>
    </row>
    <row r="713">
      <c r="D713" s="21" t="n"/>
      <c r="E713" s="21" t="n"/>
      <c r="F713" s="21" t="n"/>
      <c r="G713" s="21" t="n"/>
      <c r="H713" s="21" t="n"/>
      <c r="I713" s="21" t="n"/>
      <c r="J713" s="21" t="n"/>
    </row>
    <row r="714">
      <c r="D714" s="21" t="n"/>
      <c r="E714" s="21" t="n"/>
      <c r="F714" s="21" t="n"/>
      <c r="G714" s="21" t="n"/>
      <c r="H714" s="21" t="n"/>
      <c r="I714" s="21" t="n"/>
      <c r="J714" s="21" t="n"/>
    </row>
    <row r="715">
      <c r="D715" s="21" t="n"/>
      <c r="E715" s="21" t="n"/>
      <c r="F715" s="21" t="n"/>
      <c r="G715" s="21" t="n"/>
      <c r="H715" s="21" t="n"/>
      <c r="I715" s="21" t="n"/>
      <c r="J715" s="21" t="n"/>
    </row>
    <row r="716">
      <c r="D716" s="21" t="n"/>
      <c r="E716" s="21" t="n"/>
      <c r="F716" s="21" t="n"/>
      <c r="G716" s="21" t="n"/>
      <c r="H716" s="21" t="n"/>
      <c r="I716" s="21" t="n"/>
      <c r="J716" s="21" t="n"/>
    </row>
    <row r="717">
      <c r="D717" s="21" t="n"/>
      <c r="E717" s="21" t="n"/>
      <c r="F717" s="21" t="n"/>
      <c r="G717" s="21" t="n"/>
      <c r="H717" s="21" t="n"/>
      <c r="I717" s="21" t="n"/>
      <c r="J717" s="21" t="n"/>
    </row>
    <row r="718">
      <c r="D718" s="21" t="n"/>
      <c r="E718" s="21" t="n"/>
      <c r="F718" s="21" t="n"/>
      <c r="G718" s="21" t="n"/>
      <c r="H718" s="21" t="n"/>
      <c r="I718" s="21" t="n"/>
      <c r="J718" s="21" t="n"/>
    </row>
    <row r="719">
      <c r="D719" s="21" t="n"/>
      <c r="E719" s="21" t="n"/>
      <c r="F719" s="21" t="n"/>
      <c r="G719" s="21" t="n"/>
      <c r="H719" s="21" t="n"/>
      <c r="I719" s="21" t="n"/>
      <c r="J719" s="21" t="n"/>
    </row>
    <row r="720">
      <c r="D720" s="21" t="n"/>
      <c r="E720" s="21" t="n"/>
      <c r="F720" s="21" t="n"/>
      <c r="G720" s="21" t="n"/>
      <c r="H720" s="21" t="n"/>
      <c r="I720" s="21" t="n"/>
      <c r="J720" s="21" t="n"/>
    </row>
    <row r="721">
      <c r="D721" s="21" t="n"/>
      <c r="E721" s="21" t="n"/>
      <c r="F721" s="21" t="n"/>
      <c r="G721" s="21" t="n"/>
      <c r="H721" s="21" t="n"/>
      <c r="I721" s="21" t="n"/>
      <c r="J721" s="21" t="n"/>
    </row>
    <row r="722">
      <c r="D722" s="21" t="n"/>
      <c r="E722" s="21" t="n"/>
      <c r="F722" s="21" t="n"/>
      <c r="G722" s="21" t="n"/>
      <c r="H722" s="21" t="n"/>
      <c r="I722" s="21" t="n"/>
      <c r="J722" s="21" t="n"/>
    </row>
    <row r="723">
      <c r="D723" s="21" t="n"/>
      <c r="E723" s="21" t="n"/>
      <c r="F723" s="21" t="n"/>
      <c r="G723" s="21" t="n"/>
      <c r="H723" s="21" t="n"/>
      <c r="I723" s="21" t="n"/>
      <c r="J723" s="21" t="n"/>
    </row>
    <row r="724">
      <c r="D724" s="21" t="n"/>
      <c r="E724" s="21" t="n"/>
      <c r="F724" s="21" t="n"/>
      <c r="G724" s="21" t="n"/>
      <c r="H724" s="21" t="n"/>
      <c r="I724" s="21" t="n"/>
      <c r="J724" s="21" t="n"/>
    </row>
    <row r="725">
      <c r="D725" s="21" t="n"/>
      <c r="E725" s="21" t="n"/>
      <c r="F725" s="21" t="n"/>
      <c r="G725" s="21" t="n"/>
      <c r="H725" s="21" t="n"/>
      <c r="I725" s="21" t="n"/>
      <c r="J725" s="21" t="n"/>
    </row>
    <row r="726">
      <c r="D726" s="21" t="n"/>
      <c r="E726" s="21" t="n"/>
      <c r="F726" s="21" t="n"/>
      <c r="G726" s="21" t="n"/>
      <c r="H726" s="21" t="n"/>
      <c r="I726" s="21" t="n"/>
      <c r="J726" s="21" t="n"/>
    </row>
    <row r="727">
      <c r="D727" s="21" t="n"/>
      <c r="E727" s="21" t="n"/>
      <c r="F727" s="21" t="n"/>
      <c r="G727" s="21" t="n"/>
      <c r="H727" s="21" t="n"/>
      <c r="I727" s="21" t="n"/>
      <c r="J727" s="21" t="n"/>
    </row>
    <row r="728">
      <c r="D728" s="21" t="n"/>
      <c r="E728" s="21" t="n"/>
      <c r="F728" s="21" t="n"/>
      <c r="G728" s="21" t="n"/>
      <c r="H728" s="21" t="n"/>
      <c r="I728" s="21" t="n"/>
      <c r="J728" s="21" t="n"/>
    </row>
    <row r="729">
      <c r="D729" s="21" t="n"/>
      <c r="E729" s="21" t="n"/>
      <c r="F729" s="21" t="n"/>
      <c r="G729" s="21" t="n"/>
      <c r="H729" s="21" t="n"/>
      <c r="I729" s="21" t="n"/>
      <c r="J729" s="21" t="n"/>
    </row>
    <row r="730">
      <c r="D730" s="21" t="n"/>
      <c r="E730" s="21" t="n"/>
      <c r="F730" s="21" t="n"/>
      <c r="G730" s="21" t="n"/>
      <c r="H730" s="21" t="n"/>
      <c r="I730" s="21" t="n"/>
      <c r="J730" s="21" t="n"/>
    </row>
    <row r="731">
      <c r="D731" s="21" t="n"/>
      <c r="E731" s="21" t="n"/>
      <c r="F731" s="21" t="n"/>
      <c r="G731" s="21" t="n"/>
      <c r="H731" s="21" t="n"/>
      <c r="I731" s="21" t="n"/>
      <c r="J731" s="21" t="n"/>
    </row>
    <row r="732">
      <c r="D732" s="21" t="n"/>
      <c r="E732" s="21" t="n"/>
      <c r="F732" s="21" t="n"/>
      <c r="G732" s="21" t="n"/>
      <c r="H732" s="21" t="n"/>
      <c r="I732" s="21" t="n"/>
      <c r="J732" s="21" t="n"/>
    </row>
    <row r="733">
      <c r="D733" s="21" t="n"/>
      <c r="E733" s="21" t="n"/>
      <c r="F733" s="21" t="n"/>
      <c r="G733" s="21" t="n"/>
      <c r="H733" s="21" t="n"/>
      <c r="I733" s="21" t="n"/>
      <c r="J733" s="21" t="n"/>
    </row>
    <row r="734">
      <c r="D734" s="21" t="n"/>
      <c r="E734" s="21" t="n"/>
      <c r="F734" s="21" t="n"/>
      <c r="G734" s="21" t="n"/>
      <c r="H734" s="21" t="n"/>
      <c r="I734" s="21" t="n"/>
      <c r="J734" s="21" t="n"/>
    </row>
    <row r="735">
      <c r="D735" s="21" t="n"/>
      <c r="E735" s="21" t="n"/>
      <c r="F735" s="21" t="n"/>
      <c r="G735" s="21" t="n"/>
      <c r="H735" s="21" t="n"/>
      <c r="I735" s="21" t="n"/>
      <c r="J735" s="21" t="n"/>
    </row>
    <row r="736">
      <c r="D736" s="21" t="n"/>
      <c r="E736" s="21" t="n"/>
      <c r="F736" s="21" t="n"/>
      <c r="G736" s="21" t="n"/>
      <c r="H736" s="21" t="n"/>
      <c r="I736" s="21" t="n"/>
      <c r="J736" s="21" t="n"/>
    </row>
    <row r="737">
      <c r="D737" s="21" t="n"/>
      <c r="E737" s="21" t="n"/>
      <c r="F737" s="21" t="n"/>
      <c r="G737" s="21" t="n"/>
      <c r="H737" s="21" t="n"/>
      <c r="I737" s="21" t="n"/>
      <c r="J737" s="21" t="n"/>
    </row>
    <row r="738">
      <c r="D738" s="21" t="n"/>
      <c r="E738" s="21" t="n"/>
      <c r="F738" s="21" t="n"/>
      <c r="G738" s="21" t="n"/>
      <c r="H738" s="21" t="n"/>
      <c r="I738" s="21" t="n"/>
      <c r="J738" s="21" t="n"/>
    </row>
    <row r="739">
      <c r="D739" s="21" t="n"/>
      <c r="E739" s="21" t="n"/>
      <c r="F739" s="21" t="n"/>
      <c r="G739" s="21" t="n"/>
      <c r="H739" s="21" t="n"/>
      <c r="I739" s="21" t="n"/>
      <c r="J739" s="21" t="n"/>
    </row>
    <row r="740">
      <c r="D740" s="21" t="n"/>
      <c r="E740" s="21" t="n"/>
      <c r="F740" s="21" t="n"/>
      <c r="G740" s="21" t="n"/>
      <c r="H740" s="21" t="n"/>
      <c r="I740" s="21" t="n"/>
      <c r="J740" s="21" t="n"/>
    </row>
    <row r="741">
      <c r="D741" s="21" t="n"/>
      <c r="E741" s="21" t="n"/>
      <c r="F741" s="21" t="n"/>
      <c r="G741" s="21" t="n"/>
      <c r="H741" s="21" t="n"/>
      <c r="I741" s="21" t="n"/>
      <c r="J741" s="21" t="n"/>
    </row>
    <row r="742">
      <c r="D742" s="21" t="n"/>
      <c r="E742" s="21" t="n"/>
      <c r="F742" s="21" t="n"/>
      <c r="G742" s="21" t="n"/>
      <c r="H742" s="21" t="n"/>
      <c r="I742" s="21" t="n"/>
      <c r="J742" s="21" t="n"/>
    </row>
    <row r="743">
      <c r="D743" s="21" t="n"/>
      <c r="E743" s="21" t="n"/>
      <c r="F743" s="21" t="n"/>
      <c r="G743" s="21" t="n"/>
      <c r="H743" s="21" t="n"/>
      <c r="I743" s="21" t="n"/>
      <c r="J743" s="21" t="n"/>
    </row>
    <row r="744">
      <c r="D744" s="21" t="n"/>
      <c r="E744" s="21" t="n"/>
      <c r="F744" s="21" t="n"/>
      <c r="G744" s="21" t="n"/>
      <c r="H744" s="21" t="n"/>
      <c r="I744" s="21" t="n"/>
      <c r="J744" s="21" t="n"/>
    </row>
    <row r="745">
      <c r="D745" s="21" t="n"/>
      <c r="E745" s="21" t="n"/>
      <c r="F745" s="21" t="n"/>
      <c r="G745" s="21" t="n"/>
      <c r="H745" s="21" t="n"/>
      <c r="I745" s="21" t="n"/>
      <c r="J745" s="21" t="n"/>
    </row>
    <row r="746">
      <c r="D746" s="21" t="n"/>
      <c r="E746" s="21" t="n"/>
      <c r="F746" s="21" t="n"/>
      <c r="G746" s="21" t="n"/>
      <c r="H746" s="21" t="n"/>
      <c r="I746" s="21" t="n"/>
      <c r="J746" s="21" t="n"/>
    </row>
    <row r="747">
      <c r="D747" s="21" t="n"/>
      <c r="E747" s="21" t="n"/>
      <c r="F747" s="21" t="n"/>
      <c r="G747" s="21" t="n"/>
      <c r="H747" s="21" t="n"/>
      <c r="I747" s="21" t="n"/>
      <c r="J747" s="21" t="n"/>
    </row>
    <row r="748">
      <c r="D748" s="21" t="n"/>
      <c r="E748" s="21" t="n"/>
      <c r="F748" s="21" t="n"/>
      <c r="G748" s="21" t="n"/>
      <c r="H748" s="21" t="n"/>
      <c r="I748" s="21" t="n"/>
      <c r="J748" s="21" t="n"/>
    </row>
    <row r="749">
      <c r="D749" s="21" t="n"/>
      <c r="E749" s="21" t="n"/>
      <c r="F749" s="21" t="n"/>
      <c r="G749" s="21" t="n"/>
      <c r="H749" s="21" t="n"/>
      <c r="I749" s="21" t="n"/>
      <c r="J749" s="21" t="n"/>
    </row>
    <row r="750">
      <c r="D750" s="21" t="n"/>
      <c r="E750" s="21" t="n"/>
      <c r="F750" s="21" t="n"/>
      <c r="G750" s="21" t="n"/>
      <c r="H750" s="21" t="n"/>
      <c r="I750" s="21" t="n"/>
      <c r="J750" s="21" t="n"/>
    </row>
    <row r="751">
      <c r="D751" s="21" t="n"/>
      <c r="E751" s="21" t="n"/>
      <c r="F751" s="21" t="n"/>
      <c r="G751" s="21" t="n"/>
      <c r="H751" s="21" t="n"/>
      <c r="I751" s="21" t="n"/>
      <c r="J751" s="21" t="n"/>
    </row>
    <row r="752">
      <c r="D752" s="21" t="n"/>
      <c r="E752" s="21" t="n"/>
      <c r="F752" s="21" t="n"/>
      <c r="G752" s="21" t="n"/>
      <c r="H752" s="21" t="n"/>
      <c r="I752" s="21" t="n"/>
      <c r="J752" s="21" t="n"/>
    </row>
    <row r="753">
      <c r="D753" s="21" t="n"/>
      <c r="E753" s="21" t="n"/>
      <c r="F753" s="21" t="n"/>
      <c r="G753" s="21" t="n"/>
      <c r="H753" s="21" t="n"/>
      <c r="I753" s="21" t="n"/>
      <c r="J753" s="21" t="n"/>
    </row>
    <row r="754">
      <c r="D754" s="21" t="n"/>
      <c r="E754" s="21" t="n"/>
      <c r="F754" s="21" t="n"/>
      <c r="G754" s="21" t="n"/>
      <c r="H754" s="21" t="n"/>
      <c r="I754" s="21" t="n"/>
      <c r="J754" s="21" t="n"/>
    </row>
    <row r="755">
      <c r="D755" s="21" t="n"/>
      <c r="E755" s="21" t="n"/>
      <c r="F755" s="21" t="n"/>
      <c r="G755" s="21" t="n"/>
      <c r="H755" s="21" t="n"/>
      <c r="I755" s="21" t="n"/>
      <c r="J755" s="21" t="n"/>
    </row>
    <row r="756">
      <c r="D756" s="21" t="n"/>
      <c r="E756" s="21" t="n"/>
      <c r="F756" s="21" t="n"/>
      <c r="G756" s="21" t="n"/>
      <c r="H756" s="21" t="n"/>
      <c r="I756" s="21" t="n"/>
      <c r="J756" s="21" t="n"/>
    </row>
    <row r="757">
      <c r="D757" s="21" t="n"/>
      <c r="E757" s="21" t="n"/>
      <c r="F757" s="21" t="n"/>
      <c r="G757" s="21" t="n"/>
      <c r="H757" s="21" t="n"/>
      <c r="I757" s="21" t="n"/>
      <c r="J757" s="21" t="n"/>
    </row>
    <row r="758">
      <c r="D758" s="21" t="n"/>
      <c r="E758" s="21" t="n"/>
      <c r="F758" s="21" t="n"/>
      <c r="G758" s="21" t="n"/>
      <c r="H758" s="21" t="n"/>
      <c r="I758" s="21" t="n"/>
      <c r="J758" s="21" t="n"/>
    </row>
    <row r="759">
      <c r="D759" s="21" t="n"/>
      <c r="E759" s="21" t="n"/>
      <c r="F759" s="21" t="n"/>
      <c r="G759" s="21" t="n"/>
      <c r="H759" s="21" t="n"/>
      <c r="I759" s="21" t="n"/>
      <c r="J759" s="21" t="n"/>
    </row>
    <row r="760">
      <c r="D760" s="21" t="n"/>
      <c r="E760" s="21" t="n"/>
      <c r="F760" s="21" t="n"/>
      <c r="G760" s="21" t="n"/>
      <c r="H760" s="21" t="n"/>
      <c r="I760" s="21" t="n"/>
      <c r="J760" s="21" t="n"/>
    </row>
    <row r="761">
      <c r="D761" s="21" t="n"/>
      <c r="E761" s="21" t="n"/>
      <c r="F761" s="21" t="n"/>
      <c r="G761" s="21" t="n"/>
      <c r="H761" s="21" t="n"/>
      <c r="I761" s="21" t="n"/>
      <c r="J761" s="21" t="n"/>
    </row>
    <row r="762">
      <c r="D762" s="21" t="n"/>
      <c r="E762" s="21" t="n"/>
      <c r="F762" s="21" t="n"/>
      <c r="G762" s="21" t="n"/>
      <c r="H762" s="21" t="n"/>
      <c r="I762" s="21" t="n"/>
      <c r="J762" s="21" t="n"/>
    </row>
    <row r="763">
      <c r="D763" s="21" t="n"/>
      <c r="E763" s="21" t="n"/>
      <c r="F763" s="21" t="n"/>
      <c r="G763" s="21" t="n"/>
      <c r="H763" s="21" t="n"/>
      <c r="I763" s="21" t="n"/>
      <c r="J763" s="21" t="n"/>
    </row>
    <row r="764">
      <c r="D764" s="21" t="n"/>
      <c r="E764" s="21" t="n"/>
      <c r="F764" s="21" t="n"/>
      <c r="G764" s="21" t="n"/>
      <c r="H764" s="21" t="n"/>
      <c r="I764" s="21" t="n"/>
      <c r="J764" s="21" t="n"/>
    </row>
    <row r="765">
      <c r="D765" s="21" t="n"/>
      <c r="E765" s="21" t="n"/>
      <c r="F765" s="21" t="n"/>
      <c r="G765" s="21" t="n"/>
      <c r="H765" s="21" t="n"/>
      <c r="I765" s="21" t="n"/>
      <c r="J765" s="21" t="n"/>
    </row>
    <row r="766">
      <c r="D766" s="21" t="n"/>
      <c r="E766" s="21" t="n"/>
      <c r="F766" s="21" t="n"/>
      <c r="G766" s="21" t="n"/>
      <c r="H766" s="21" t="n"/>
      <c r="I766" s="21" t="n"/>
      <c r="J766" s="21" t="n"/>
    </row>
    <row r="767">
      <c r="D767" s="21" t="n"/>
      <c r="E767" s="21" t="n"/>
      <c r="F767" s="21" t="n"/>
      <c r="G767" s="21" t="n"/>
      <c r="H767" s="21" t="n"/>
      <c r="I767" s="21" t="n"/>
      <c r="J767" s="21" t="n"/>
    </row>
    <row r="768">
      <c r="D768" s="21" t="n"/>
      <c r="E768" s="21" t="n"/>
      <c r="F768" s="21" t="n"/>
      <c r="G768" s="21" t="n"/>
      <c r="H768" s="21" t="n"/>
      <c r="I768" s="21" t="n"/>
      <c r="J768" s="21" t="n"/>
    </row>
    <row r="769">
      <c r="D769" s="21" t="n"/>
      <c r="E769" s="21" t="n"/>
      <c r="F769" s="21" t="n"/>
      <c r="G769" s="21" t="n"/>
      <c r="H769" s="21" t="n"/>
      <c r="I769" s="21" t="n"/>
      <c r="J769" s="21" t="n"/>
    </row>
    <row r="770">
      <c r="D770" s="21" t="n"/>
      <c r="E770" s="21" t="n"/>
      <c r="F770" s="21" t="n"/>
      <c r="G770" s="21" t="n"/>
      <c r="H770" s="21" t="n"/>
      <c r="I770" s="21" t="n"/>
      <c r="J770" s="21" t="n"/>
    </row>
    <row r="771">
      <c r="D771" s="21" t="n"/>
      <c r="E771" s="21" t="n"/>
      <c r="F771" s="21" t="n"/>
      <c r="G771" s="21" t="n"/>
      <c r="H771" s="21" t="n"/>
      <c r="I771" s="21" t="n"/>
      <c r="J771" s="21" t="n"/>
    </row>
    <row r="772">
      <c r="D772" s="21" t="n"/>
      <c r="E772" s="21" t="n"/>
      <c r="F772" s="21" t="n"/>
      <c r="G772" s="21" t="n"/>
      <c r="H772" s="21" t="n"/>
      <c r="I772" s="21" t="n"/>
      <c r="J772" s="21" t="n"/>
    </row>
    <row r="773">
      <c r="D773" s="21" t="n"/>
      <c r="E773" s="21" t="n"/>
      <c r="F773" s="21" t="n"/>
      <c r="G773" s="21" t="n"/>
      <c r="H773" s="21" t="n"/>
      <c r="I773" s="21" t="n"/>
      <c r="J773" s="21" t="n"/>
    </row>
    <row r="774">
      <c r="D774" s="21" t="n"/>
      <c r="E774" s="21" t="n"/>
      <c r="F774" s="21" t="n"/>
      <c r="G774" s="21" t="n"/>
      <c r="H774" s="21" t="n"/>
      <c r="I774" s="21" t="n"/>
      <c r="J774" s="21" t="n"/>
    </row>
    <row r="775">
      <c r="D775" s="21" t="n"/>
      <c r="E775" s="21" t="n"/>
      <c r="F775" s="21" t="n"/>
      <c r="G775" s="21" t="n"/>
      <c r="H775" s="21" t="n"/>
      <c r="I775" s="21" t="n"/>
      <c r="J775" s="21" t="n"/>
    </row>
    <row r="776">
      <c r="D776" s="21" t="n"/>
      <c r="E776" s="21" t="n"/>
      <c r="F776" s="21" t="n"/>
      <c r="G776" s="21" t="n"/>
      <c r="H776" s="21" t="n"/>
      <c r="I776" s="21" t="n"/>
      <c r="J776" s="21" t="n"/>
    </row>
    <row r="777">
      <c r="D777" s="21" t="n"/>
      <c r="E777" s="21" t="n"/>
      <c r="F777" s="21" t="n"/>
      <c r="G777" s="21" t="n"/>
      <c r="H777" s="21" t="n"/>
      <c r="I777" s="21" t="n"/>
      <c r="J777" s="21" t="n"/>
    </row>
    <row r="778">
      <c r="D778" s="21" t="n"/>
      <c r="E778" s="21" t="n"/>
      <c r="F778" s="21" t="n"/>
      <c r="G778" s="21" t="n"/>
      <c r="H778" s="21" t="n"/>
      <c r="I778" s="21" t="n"/>
      <c r="J778" s="21" t="n"/>
    </row>
    <row r="779">
      <c r="D779" s="21" t="n"/>
      <c r="E779" s="21" t="n"/>
      <c r="F779" s="21" t="n"/>
      <c r="G779" s="21" t="n"/>
      <c r="H779" s="21" t="n"/>
      <c r="I779" s="21" t="n"/>
      <c r="J779" s="21" t="n"/>
    </row>
    <row r="780">
      <c r="D780" s="21" t="n"/>
      <c r="E780" s="21" t="n"/>
      <c r="F780" s="21" t="n"/>
      <c r="G780" s="21" t="n"/>
      <c r="H780" s="21" t="n"/>
      <c r="I780" s="21" t="n"/>
      <c r="J780" s="21" t="n"/>
    </row>
    <row r="781">
      <c r="D781" s="21" t="n"/>
      <c r="E781" s="21" t="n"/>
      <c r="F781" s="21" t="n"/>
      <c r="G781" s="21" t="n"/>
      <c r="H781" s="21" t="n"/>
      <c r="I781" s="21" t="n"/>
      <c r="J781" s="21" t="n"/>
    </row>
    <row r="782">
      <c r="D782" s="21" t="n"/>
      <c r="E782" s="21" t="n"/>
      <c r="F782" s="21" t="n"/>
      <c r="G782" s="21" t="n"/>
      <c r="H782" s="21" t="n"/>
      <c r="I782" s="21" t="n"/>
      <c r="J782" s="21" t="n"/>
    </row>
    <row r="783">
      <c r="D783" s="21" t="n"/>
      <c r="E783" s="21" t="n"/>
      <c r="F783" s="21" t="n"/>
      <c r="G783" s="21" t="n"/>
      <c r="H783" s="21" t="n"/>
      <c r="I783" s="21" t="n"/>
      <c r="J783" s="21" t="n"/>
    </row>
    <row r="784">
      <c r="D784" s="21" t="n"/>
      <c r="E784" s="21" t="n"/>
      <c r="F784" s="21" t="n"/>
      <c r="G784" s="21" t="n"/>
      <c r="H784" s="21" t="n"/>
      <c r="I784" s="21" t="n"/>
      <c r="J784" s="21" t="n"/>
    </row>
    <row r="785">
      <c r="D785" s="21" t="n"/>
      <c r="E785" s="21" t="n"/>
      <c r="F785" s="21" t="n"/>
      <c r="G785" s="21" t="n"/>
      <c r="H785" s="21" t="n"/>
      <c r="I785" s="21" t="n"/>
      <c r="J785" s="21" t="n"/>
    </row>
    <row r="786">
      <c r="D786" s="21" t="n"/>
      <c r="E786" s="21" t="n"/>
      <c r="F786" s="21" t="n"/>
      <c r="G786" s="21" t="n"/>
      <c r="H786" s="21" t="n"/>
      <c r="I786" s="21" t="n"/>
      <c r="J786" s="21" t="n"/>
    </row>
    <row r="787">
      <c r="D787" s="21" t="n"/>
      <c r="E787" s="21" t="n"/>
      <c r="F787" s="21" t="n"/>
      <c r="G787" s="21" t="n"/>
      <c r="H787" s="21" t="n"/>
      <c r="I787" s="21" t="n"/>
      <c r="J787" s="21" t="n"/>
    </row>
    <row r="788">
      <c r="D788" s="21" t="n"/>
      <c r="E788" s="21" t="n"/>
      <c r="F788" s="21" t="n"/>
      <c r="G788" s="21" t="n"/>
      <c r="H788" s="21" t="n"/>
      <c r="I788" s="21" t="n"/>
      <c r="J788" s="21" t="n"/>
    </row>
    <row r="789">
      <c r="D789" s="21" t="n"/>
      <c r="E789" s="21" t="n"/>
      <c r="F789" s="21" t="n"/>
      <c r="G789" s="21" t="n"/>
      <c r="H789" s="21" t="n"/>
      <c r="I789" s="21" t="n"/>
      <c r="J789" s="21" t="n"/>
    </row>
    <row r="790">
      <c r="D790" s="21" t="n"/>
      <c r="E790" s="21" t="n"/>
      <c r="F790" s="21" t="n"/>
      <c r="G790" s="21" t="n"/>
      <c r="H790" s="21" t="n"/>
      <c r="I790" s="21" t="n"/>
      <c r="J790" s="21" t="n"/>
    </row>
    <row r="791">
      <c r="D791" s="21" t="n"/>
      <c r="E791" s="21" t="n"/>
      <c r="F791" s="21" t="n"/>
      <c r="G791" s="21" t="n"/>
      <c r="H791" s="21" t="n"/>
      <c r="I791" s="21" t="n"/>
      <c r="J791" s="21" t="n"/>
    </row>
    <row r="792">
      <c r="D792" s="21" t="n"/>
      <c r="E792" s="21" t="n"/>
      <c r="F792" s="21" t="n"/>
      <c r="G792" s="21" t="n"/>
      <c r="H792" s="21" t="n"/>
      <c r="I792" s="21" t="n"/>
      <c r="J792" s="21" t="n"/>
    </row>
    <row r="793">
      <c r="D793" s="21" t="n"/>
      <c r="E793" s="21" t="n"/>
      <c r="F793" s="21" t="n"/>
      <c r="G793" s="21" t="n"/>
      <c r="H793" s="21" t="n"/>
      <c r="I793" s="21" t="n"/>
      <c r="J793" s="21" t="n"/>
    </row>
    <row r="794">
      <c r="D794" s="21" t="n"/>
      <c r="E794" s="21" t="n"/>
      <c r="F794" s="21" t="n"/>
      <c r="G794" s="21" t="n"/>
      <c r="H794" s="21" t="n"/>
      <c r="I794" s="21" t="n"/>
      <c r="J794" s="21" t="n"/>
    </row>
    <row r="795">
      <c r="D795" s="21" t="n"/>
      <c r="E795" s="21" t="n"/>
      <c r="F795" s="21" t="n"/>
      <c r="G795" s="21" t="n"/>
      <c r="H795" s="21" t="n"/>
      <c r="I795" s="21" t="n"/>
      <c r="J795" s="21" t="n"/>
    </row>
    <row r="796">
      <c r="D796" s="21" t="n"/>
      <c r="E796" s="21" t="n"/>
      <c r="F796" s="21" t="n"/>
      <c r="G796" s="21" t="n"/>
      <c r="H796" s="21" t="n"/>
      <c r="I796" s="21" t="n"/>
      <c r="J796" s="21" t="n"/>
    </row>
    <row r="797">
      <c r="D797" s="21" t="n"/>
      <c r="E797" s="21" t="n"/>
      <c r="F797" s="21" t="n"/>
      <c r="G797" s="21" t="n"/>
      <c r="H797" s="21" t="n"/>
      <c r="I797" s="21" t="n"/>
      <c r="J797" s="21" t="n"/>
    </row>
    <row r="798">
      <c r="D798" s="21" t="n"/>
      <c r="E798" s="21" t="n"/>
      <c r="F798" s="21" t="n"/>
      <c r="G798" s="21" t="n"/>
      <c r="H798" s="21" t="n"/>
      <c r="I798" s="21" t="n"/>
      <c r="J798" s="21" t="n"/>
    </row>
    <row r="799">
      <c r="D799" s="21" t="n"/>
      <c r="E799" s="21" t="n"/>
      <c r="F799" s="21" t="n"/>
      <c r="G799" s="21" t="n"/>
      <c r="H799" s="21" t="n"/>
      <c r="I799" s="21" t="n"/>
      <c r="J799" s="21" t="n"/>
    </row>
    <row r="800">
      <c r="D800" s="21" t="n"/>
      <c r="E800" s="21" t="n"/>
      <c r="F800" s="21" t="n"/>
      <c r="G800" s="21" t="n"/>
      <c r="H800" s="21" t="n"/>
      <c r="I800" s="21" t="n"/>
      <c r="J800" s="21" t="n"/>
    </row>
    <row r="801">
      <c r="D801" s="21" t="n"/>
      <c r="E801" s="21" t="n"/>
      <c r="F801" s="21" t="n"/>
      <c r="G801" s="21" t="n"/>
      <c r="H801" s="21" t="n"/>
      <c r="I801" s="21" t="n"/>
      <c r="J801" s="21" t="n"/>
    </row>
    <row r="802">
      <c r="D802" s="21" t="n"/>
      <c r="E802" s="21" t="n"/>
      <c r="F802" s="21" t="n"/>
      <c r="G802" s="21" t="n"/>
      <c r="H802" s="21" t="n"/>
      <c r="I802" s="21" t="n"/>
      <c r="J802" s="21" t="n"/>
    </row>
    <row r="803">
      <c r="D803" s="21" t="n"/>
      <c r="E803" s="21" t="n"/>
      <c r="F803" s="21" t="n"/>
      <c r="G803" s="21" t="n"/>
      <c r="H803" s="21" t="n"/>
      <c r="I803" s="21" t="n"/>
      <c r="J803" s="21" t="n"/>
    </row>
    <row r="804">
      <c r="D804" s="21" t="n"/>
      <c r="E804" s="21" t="n"/>
      <c r="F804" s="21" t="n"/>
      <c r="G804" s="21" t="n"/>
      <c r="H804" s="21" t="n"/>
      <c r="I804" s="21" t="n"/>
      <c r="J804" s="21" t="n"/>
    </row>
    <row r="805">
      <c r="D805" s="21" t="n"/>
      <c r="E805" s="21" t="n"/>
      <c r="F805" s="21" t="n"/>
      <c r="G805" s="21" t="n"/>
      <c r="H805" s="21" t="n"/>
      <c r="I805" s="21" t="n"/>
      <c r="J805" s="21" t="n"/>
    </row>
    <row r="806">
      <c r="D806" s="21" t="n"/>
      <c r="E806" s="21" t="n"/>
      <c r="F806" s="21" t="n"/>
      <c r="G806" s="21" t="n"/>
      <c r="H806" s="21" t="n"/>
      <c r="I806" s="21" t="n"/>
      <c r="J806" s="21" t="n"/>
    </row>
    <row r="807">
      <c r="D807" s="21" t="n"/>
      <c r="E807" s="21" t="n"/>
      <c r="F807" s="21" t="n"/>
      <c r="G807" s="21" t="n"/>
      <c r="H807" s="21" t="n"/>
      <c r="I807" s="21" t="n"/>
      <c r="J807" s="21" t="n"/>
    </row>
    <row r="808">
      <c r="D808" s="21" t="n"/>
      <c r="E808" s="21" t="n"/>
      <c r="F808" s="21" t="n"/>
      <c r="G808" s="21" t="n"/>
      <c r="H808" s="21" t="n"/>
      <c r="I808" s="21" t="n"/>
      <c r="J808" s="21" t="n"/>
    </row>
    <row r="809">
      <c r="D809" s="21" t="n"/>
      <c r="E809" s="21" t="n"/>
      <c r="F809" s="21" t="n"/>
      <c r="G809" s="21" t="n"/>
      <c r="H809" s="21" t="n"/>
      <c r="I809" s="21" t="n"/>
      <c r="J809" s="21" t="n"/>
    </row>
    <row r="810">
      <c r="D810" s="21" t="n"/>
      <c r="E810" s="21" t="n"/>
      <c r="F810" s="21" t="n"/>
      <c r="G810" s="21" t="n"/>
      <c r="H810" s="21" t="n"/>
      <c r="I810" s="21" t="n"/>
      <c r="J810" s="21" t="n"/>
    </row>
    <row r="811">
      <c r="D811" s="21" t="n"/>
      <c r="E811" s="21" t="n"/>
      <c r="F811" s="21" t="n"/>
      <c r="G811" s="21" t="n"/>
      <c r="H811" s="21" t="n"/>
      <c r="I811" s="21" t="n"/>
      <c r="J811" s="21" t="n"/>
    </row>
    <row r="812">
      <c r="D812" s="21" t="n"/>
      <c r="E812" s="21" t="n"/>
      <c r="F812" s="21" t="n"/>
      <c r="G812" s="21" t="n"/>
      <c r="H812" s="21" t="n"/>
      <c r="I812" s="21" t="n"/>
      <c r="J812" s="21" t="n"/>
    </row>
    <row r="813">
      <c r="D813" s="21" t="n"/>
      <c r="E813" s="21" t="n"/>
      <c r="F813" s="21" t="n"/>
      <c r="G813" s="21" t="n"/>
      <c r="H813" s="21" t="n"/>
      <c r="I813" s="21" t="n"/>
      <c r="J813" s="21" t="n"/>
    </row>
    <row r="814">
      <c r="D814" s="21" t="n"/>
      <c r="E814" s="21" t="n"/>
      <c r="F814" s="21" t="n"/>
      <c r="G814" s="21" t="n"/>
      <c r="H814" s="21" t="n"/>
      <c r="I814" s="21" t="n"/>
      <c r="J814" s="21" t="n"/>
    </row>
    <row r="815">
      <c r="D815" s="21" t="n"/>
      <c r="E815" s="21" t="n"/>
      <c r="F815" s="21" t="n"/>
      <c r="G815" s="21" t="n"/>
      <c r="H815" s="21" t="n"/>
      <c r="I815" s="21" t="n"/>
      <c r="J815" s="21" t="n"/>
    </row>
    <row r="816">
      <c r="D816" s="21" t="n"/>
      <c r="E816" s="21" t="n"/>
      <c r="F816" s="21" t="n"/>
      <c r="G816" s="21" t="n"/>
      <c r="H816" s="21" t="n"/>
      <c r="I816" s="21" t="n"/>
      <c r="J816" s="21" t="n"/>
    </row>
    <row r="817">
      <c r="D817" s="21" t="n"/>
      <c r="E817" s="21" t="n"/>
      <c r="F817" s="21" t="n"/>
      <c r="G817" s="21" t="n"/>
      <c r="H817" s="21" t="n"/>
      <c r="I817" s="21" t="n"/>
      <c r="J817" s="21" t="n"/>
    </row>
    <row r="818">
      <c r="D818" s="21" t="n"/>
      <c r="E818" s="21" t="n"/>
      <c r="F818" s="21" t="n"/>
      <c r="G818" s="21" t="n"/>
      <c r="H818" s="21" t="n"/>
      <c r="I818" s="21" t="n"/>
      <c r="J818" s="21" t="n"/>
    </row>
    <row r="819">
      <c r="D819" s="21" t="n"/>
      <c r="E819" s="21" t="n"/>
      <c r="F819" s="21" t="n"/>
      <c r="G819" s="21" t="n"/>
      <c r="H819" s="21" t="n"/>
      <c r="I819" s="21" t="n"/>
      <c r="J819" s="21" t="n"/>
    </row>
    <row r="820">
      <c r="D820" s="21" t="n"/>
      <c r="E820" s="21" t="n"/>
      <c r="F820" s="21" t="n"/>
      <c r="G820" s="21" t="n"/>
      <c r="H820" s="21" t="n"/>
      <c r="I820" s="21" t="n"/>
      <c r="J820" s="21" t="n"/>
    </row>
    <row r="821">
      <c r="D821" s="21" t="n"/>
      <c r="E821" s="21" t="n"/>
      <c r="F821" s="21" t="n"/>
      <c r="G821" s="21" t="n"/>
      <c r="H821" s="21" t="n"/>
      <c r="I821" s="21" t="n"/>
      <c r="J821" s="21" t="n"/>
    </row>
    <row r="822">
      <c r="D822" s="21" t="n"/>
      <c r="E822" s="21" t="n"/>
      <c r="F822" s="21" t="n"/>
      <c r="G822" s="21" t="n"/>
      <c r="H822" s="21" t="n"/>
      <c r="I822" s="21" t="n"/>
      <c r="J822" s="21" t="n"/>
    </row>
    <row r="823">
      <c r="D823" s="21" t="n"/>
      <c r="E823" s="21" t="n"/>
      <c r="F823" s="21" t="n"/>
      <c r="G823" s="21" t="n"/>
      <c r="H823" s="21" t="n"/>
      <c r="I823" s="21" t="n"/>
      <c r="J823" s="21" t="n"/>
    </row>
    <row r="824">
      <c r="D824" s="21" t="n"/>
      <c r="E824" s="21" t="n"/>
      <c r="F824" s="21" t="n"/>
      <c r="G824" s="21" t="n"/>
      <c r="H824" s="21" t="n"/>
      <c r="I824" s="21" t="n"/>
      <c r="J824" s="21" t="n"/>
    </row>
    <row r="825">
      <c r="D825" s="21" t="n"/>
      <c r="E825" s="21" t="n"/>
      <c r="F825" s="21" t="n"/>
      <c r="G825" s="21" t="n"/>
      <c r="H825" s="21" t="n"/>
      <c r="I825" s="21" t="n"/>
      <c r="J825" s="21" t="n"/>
    </row>
    <row r="826">
      <c r="D826" s="21" t="n"/>
      <c r="E826" s="21" t="n"/>
      <c r="F826" s="21" t="n"/>
      <c r="G826" s="21" t="n"/>
      <c r="H826" s="21" t="n"/>
      <c r="I826" s="21" t="n"/>
      <c r="J826" s="21" t="n"/>
    </row>
    <row r="827">
      <c r="D827" s="21" t="n"/>
      <c r="E827" s="21" t="n"/>
      <c r="F827" s="21" t="n"/>
      <c r="G827" s="21" t="n"/>
      <c r="H827" s="21" t="n"/>
      <c r="I827" s="21" t="n"/>
      <c r="J827" s="21" t="n"/>
    </row>
    <row r="828">
      <c r="D828" s="21" t="n"/>
      <c r="E828" s="21" t="n"/>
      <c r="F828" s="21" t="n"/>
      <c r="G828" s="21" t="n"/>
      <c r="H828" s="21" t="n"/>
      <c r="I828" s="21" t="n"/>
      <c r="J828" s="21" t="n"/>
    </row>
    <row r="829">
      <c r="D829" s="21" t="n"/>
      <c r="E829" s="21" t="n"/>
      <c r="F829" s="21" t="n"/>
      <c r="G829" s="21" t="n"/>
      <c r="H829" s="21" t="n"/>
      <c r="I829" s="21" t="n"/>
      <c r="J829" s="21" t="n"/>
    </row>
    <row r="830">
      <c r="D830" s="21" t="n"/>
      <c r="E830" s="21" t="n"/>
      <c r="F830" s="21" t="n"/>
      <c r="G830" s="21" t="n"/>
      <c r="H830" s="21" t="n"/>
      <c r="I830" s="21" t="n"/>
      <c r="J830" s="21" t="n"/>
    </row>
    <row r="831">
      <c r="D831" s="21" t="n"/>
      <c r="E831" s="21" t="n"/>
      <c r="F831" s="21" t="n"/>
      <c r="G831" s="21" t="n"/>
      <c r="H831" s="21" t="n"/>
      <c r="I831" s="21" t="n"/>
      <c r="J831" s="21" t="n"/>
    </row>
    <row r="832">
      <c r="D832" s="21" t="n"/>
      <c r="E832" s="21" t="n"/>
      <c r="F832" s="21" t="n"/>
      <c r="G832" s="21" t="n"/>
      <c r="H832" s="21" t="n"/>
      <c r="I832" s="21" t="n"/>
      <c r="J832" s="21" t="n"/>
    </row>
    <row r="833">
      <c r="D833" s="21" t="n"/>
      <c r="E833" s="21" t="n"/>
      <c r="F833" s="21" t="n"/>
      <c r="G833" s="21" t="n"/>
      <c r="H833" s="21" t="n"/>
      <c r="I833" s="21" t="n"/>
      <c r="J833" s="21" t="n"/>
    </row>
    <row r="834">
      <c r="D834" s="21" t="n"/>
      <c r="E834" s="21" t="n"/>
      <c r="F834" s="21" t="n"/>
      <c r="G834" s="21" t="n"/>
      <c r="H834" s="21" t="n"/>
      <c r="I834" s="21" t="n"/>
      <c r="J834" s="21" t="n"/>
    </row>
    <row r="835">
      <c r="D835" s="21" t="n"/>
      <c r="E835" s="21" t="n"/>
      <c r="F835" s="21" t="n"/>
      <c r="G835" s="21" t="n"/>
      <c r="H835" s="21" t="n"/>
      <c r="I835" s="21" t="n"/>
      <c r="J835" s="21" t="n"/>
    </row>
    <row r="836">
      <c r="D836" s="21" t="n"/>
      <c r="E836" s="21" t="n"/>
      <c r="F836" s="21" t="n"/>
      <c r="G836" s="21" t="n"/>
      <c r="H836" s="21" t="n"/>
      <c r="I836" s="21" t="n"/>
      <c r="J836" s="21" t="n"/>
    </row>
    <row r="837">
      <c r="D837" s="21" t="n"/>
      <c r="E837" s="21" t="n"/>
      <c r="F837" s="21" t="n"/>
      <c r="G837" s="21" t="n"/>
      <c r="H837" s="21" t="n"/>
      <c r="I837" s="21" t="n"/>
      <c r="J837" s="21" t="n"/>
    </row>
    <row r="838">
      <c r="D838" s="21" t="n"/>
      <c r="E838" s="21" t="n"/>
      <c r="F838" s="21" t="n"/>
      <c r="G838" s="21" t="n"/>
      <c r="H838" s="21" t="n"/>
      <c r="I838" s="21" t="n"/>
      <c r="J838" s="21" t="n"/>
    </row>
    <row r="839">
      <c r="D839" s="21" t="n"/>
      <c r="E839" s="21" t="n"/>
      <c r="F839" s="21" t="n"/>
      <c r="G839" s="21" t="n"/>
      <c r="H839" s="21" t="n"/>
      <c r="I839" s="21" t="n"/>
      <c r="J839" s="21" t="n"/>
    </row>
    <row r="840">
      <c r="D840" s="21" t="n"/>
      <c r="E840" s="21" t="n"/>
      <c r="F840" s="21" t="n"/>
      <c r="G840" s="21" t="n"/>
      <c r="H840" s="21" t="n"/>
      <c r="I840" s="21" t="n"/>
      <c r="J840" s="21" t="n"/>
    </row>
    <row r="841">
      <c r="D841" s="21" t="n"/>
      <c r="E841" s="21" t="n"/>
      <c r="F841" s="21" t="n"/>
      <c r="G841" s="21" t="n"/>
      <c r="H841" s="21" t="n"/>
      <c r="I841" s="21" t="n"/>
      <c r="J841" s="21" t="n"/>
    </row>
    <row r="842">
      <c r="D842" s="21" t="n"/>
      <c r="E842" s="21" t="n"/>
      <c r="F842" s="21" t="n"/>
      <c r="G842" s="21" t="n"/>
      <c r="H842" s="21" t="n"/>
      <c r="I842" s="21" t="n"/>
      <c r="J842" s="21" t="n"/>
    </row>
    <row r="843">
      <c r="D843" s="21" t="n"/>
      <c r="E843" s="21" t="n"/>
      <c r="F843" s="21" t="n"/>
      <c r="G843" s="21" t="n"/>
      <c r="H843" s="21" t="n"/>
      <c r="I843" s="21" t="n"/>
      <c r="J843" s="21" t="n"/>
    </row>
    <row r="844">
      <c r="D844" s="21" t="n"/>
      <c r="E844" s="21" t="n"/>
      <c r="F844" s="21" t="n"/>
      <c r="G844" s="21" t="n"/>
      <c r="H844" s="21" t="n"/>
      <c r="I844" s="21" t="n"/>
      <c r="J844" s="21" t="n"/>
    </row>
    <row r="845">
      <c r="D845" s="21" t="n"/>
      <c r="E845" s="21" t="n"/>
      <c r="F845" s="21" t="n"/>
      <c r="G845" s="21" t="n"/>
      <c r="H845" s="21" t="n"/>
      <c r="I845" s="21" t="n"/>
      <c r="J845" s="21" t="n"/>
    </row>
    <row r="846">
      <c r="D846" s="21" t="n"/>
      <c r="E846" s="21" t="n"/>
      <c r="F846" s="21" t="n"/>
      <c r="G846" s="21" t="n"/>
      <c r="H846" s="21" t="n"/>
      <c r="I846" s="21" t="n"/>
      <c r="J846" s="21" t="n"/>
    </row>
    <row r="847">
      <c r="D847" s="21" t="n"/>
      <c r="E847" s="21" t="n"/>
      <c r="F847" s="21" t="n"/>
      <c r="G847" s="21" t="n"/>
      <c r="H847" s="21" t="n"/>
      <c r="I847" s="21" t="n"/>
      <c r="J847" s="21" t="n"/>
    </row>
    <row r="848">
      <c r="D848" s="21" t="n"/>
      <c r="E848" s="21" t="n"/>
      <c r="F848" s="21" t="n"/>
      <c r="G848" s="21" t="n"/>
      <c r="H848" s="21" t="n"/>
      <c r="I848" s="21" t="n"/>
      <c r="J848" s="21" t="n"/>
    </row>
    <row r="849">
      <c r="D849" s="21" t="n"/>
      <c r="E849" s="21" t="n"/>
      <c r="F849" s="21" t="n"/>
      <c r="G849" s="21" t="n"/>
      <c r="H849" s="21" t="n"/>
      <c r="I849" s="21" t="n"/>
      <c r="J849" s="21" t="n"/>
    </row>
    <row r="850">
      <c r="D850" s="21" t="n"/>
      <c r="E850" s="21" t="n"/>
      <c r="F850" s="21" t="n"/>
      <c r="G850" s="21" t="n"/>
      <c r="H850" s="21" t="n"/>
      <c r="I850" s="21" t="n"/>
      <c r="J850" s="21" t="n"/>
    </row>
    <row r="851">
      <c r="D851" s="21" t="n"/>
      <c r="E851" s="21" t="n"/>
      <c r="F851" s="21" t="n"/>
      <c r="G851" s="21" t="n"/>
      <c r="H851" s="21" t="n"/>
      <c r="I851" s="21" t="n"/>
      <c r="J851" s="21" t="n"/>
    </row>
    <row r="852">
      <c r="D852" s="21" t="n"/>
      <c r="E852" s="21" t="n"/>
      <c r="F852" s="21" t="n"/>
      <c r="G852" s="21" t="n"/>
      <c r="H852" s="21" t="n"/>
      <c r="I852" s="21" t="n"/>
      <c r="J852" s="21" t="n"/>
    </row>
    <row r="853">
      <c r="D853" s="21" t="n"/>
      <c r="E853" s="21" t="n"/>
      <c r="F853" s="21" t="n"/>
      <c r="G853" s="21" t="n"/>
      <c r="H853" s="21" t="n"/>
      <c r="I853" s="21" t="n"/>
      <c r="J853" s="21" t="n"/>
    </row>
    <row r="854">
      <c r="D854" s="21" t="n"/>
      <c r="E854" s="21" t="n"/>
      <c r="F854" s="21" t="n"/>
      <c r="G854" s="21" t="n"/>
      <c r="H854" s="21" t="n"/>
      <c r="I854" s="21" t="n"/>
      <c r="J854" s="21" t="n"/>
    </row>
    <row r="855">
      <c r="D855" s="21" t="n"/>
      <c r="E855" s="21" t="n"/>
      <c r="F855" s="21" t="n"/>
      <c r="G855" s="21" t="n"/>
      <c r="H855" s="21" t="n"/>
      <c r="I855" s="21" t="n"/>
      <c r="J855" s="21" t="n"/>
    </row>
    <row r="856">
      <c r="D856" s="21" t="n"/>
      <c r="E856" s="21" t="n"/>
      <c r="F856" s="21" t="n"/>
      <c r="G856" s="21" t="n"/>
      <c r="H856" s="21" t="n"/>
      <c r="I856" s="21" t="n"/>
      <c r="J856" s="21" t="n"/>
    </row>
    <row r="857">
      <c r="D857" s="21" t="n"/>
      <c r="E857" s="21" t="n"/>
      <c r="F857" s="21" t="n"/>
      <c r="G857" s="21" t="n"/>
      <c r="H857" s="21" t="n"/>
      <c r="I857" s="21" t="n"/>
      <c r="J857" s="21" t="n"/>
    </row>
    <row r="858">
      <c r="D858" s="21" t="n"/>
      <c r="E858" s="21" t="n"/>
      <c r="F858" s="21" t="n"/>
      <c r="G858" s="21" t="n"/>
      <c r="H858" s="21" t="n"/>
      <c r="I858" s="21" t="n"/>
      <c r="J858" s="21" t="n"/>
    </row>
    <row r="859">
      <c r="D859" s="21" t="n"/>
      <c r="E859" s="21" t="n"/>
      <c r="F859" s="21" t="n"/>
      <c r="G859" s="21" t="n"/>
      <c r="H859" s="21" t="n"/>
      <c r="I859" s="21" t="n"/>
      <c r="J859" s="21" t="n"/>
    </row>
    <row r="860">
      <c r="D860" s="21" t="n"/>
      <c r="E860" s="21" t="n"/>
      <c r="F860" s="21" t="n"/>
      <c r="G860" s="21" t="n"/>
      <c r="H860" s="21" t="n"/>
      <c r="I860" s="21" t="n"/>
      <c r="J860" s="21" t="n"/>
    </row>
    <row r="861">
      <c r="D861" s="21" t="n"/>
      <c r="E861" s="21" t="n"/>
      <c r="F861" s="21" t="n"/>
      <c r="G861" s="21" t="n"/>
      <c r="H861" s="21" t="n"/>
      <c r="I861" s="21" t="n"/>
      <c r="J861" s="21" t="n"/>
    </row>
    <row r="862">
      <c r="D862" s="21" t="n"/>
      <c r="E862" s="21" t="n"/>
      <c r="F862" s="21" t="n"/>
      <c r="G862" s="21" t="n"/>
      <c r="H862" s="21" t="n"/>
      <c r="I862" s="21" t="n"/>
      <c r="J862" s="21" t="n"/>
    </row>
    <row r="863">
      <c r="D863" s="21" t="n"/>
      <c r="E863" s="21" t="n"/>
      <c r="F863" s="21" t="n"/>
      <c r="G863" s="21" t="n"/>
      <c r="H863" s="21" t="n"/>
      <c r="I863" s="21" t="n"/>
      <c r="J863" s="21" t="n"/>
    </row>
    <row r="864">
      <c r="D864" s="21" t="n"/>
      <c r="E864" s="21" t="n"/>
      <c r="F864" s="21" t="n"/>
      <c r="G864" s="21" t="n"/>
      <c r="H864" s="21" t="n"/>
      <c r="I864" s="21" t="n"/>
      <c r="J864" s="21" t="n"/>
    </row>
    <row r="865">
      <c r="D865" s="21" t="n"/>
      <c r="E865" s="21" t="n"/>
      <c r="F865" s="21" t="n"/>
      <c r="G865" s="21" t="n"/>
      <c r="H865" s="21" t="n"/>
      <c r="I865" s="21" t="n"/>
      <c r="J865" s="21" t="n"/>
    </row>
    <row r="866">
      <c r="D866" s="21" t="n"/>
      <c r="E866" s="21" t="n"/>
      <c r="F866" s="21" t="n"/>
      <c r="G866" s="21" t="n"/>
      <c r="H866" s="21" t="n"/>
      <c r="I866" s="21" t="n"/>
      <c r="J866" s="21" t="n"/>
    </row>
    <row r="867">
      <c r="D867" s="21" t="n"/>
      <c r="E867" s="21" t="n"/>
      <c r="F867" s="21" t="n"/>
      <c r="G867" s="21" t="n"/>
      <c r="H867" s="21" t="n"/>
      <c r="I867" s="21" t="n"/>
      <c r="J867" s="21" t="n"/>
    </row>
    <row r="868">
      <c r="D868" s="21" t="n"/>
      <c r="E868" s="21" t="n"/>
      <c r="F868" s="21" t="n"/>
      <c r="G868" s="21" t="n"/>
      <c r="H868" s="21" t="n"/>
      <c r="I868" s="21" t="n"/>
      <c r="J868" s="21" t="n"/>
    </row>
    <row r="869">
      <c r="D869" s="21" t="n"/>
      <c r="E869" s="21" t="n"/>
      <c r="F869" s="21" t="n"/>
      <c r="G869" s="21" t="n"/>
      <c r="H869" s="21" t="n"/>
      <c r="I869" s="21" t="n"/>
      <c r="J869" s="21" t="n"/>
    </row>
    <row r="870">
      <c r="D870" s="21" t="n"/>
      <c r="E870" s="21" t="n"/>
      <c r="F870" s="21" t="n"/>
      <c r="G870" s="21" t="n"/>
      <c r="H870" s="21" t="n"/>
      <c r="I870" s="21" t="n"/>
      <c r="J870" s="21" t="n"/>
    </row>
    <row r="871">
      <c r="D871" s="21" t="n"/>
      <c r="E871" s="21" t="n"/>
      <c r="F871" s="21" t="n"/>
      <c r="G871" s="21" t="n"/>
      <c r="H871" s="21" t="n"/>
      <c r="I871" s="21" t="n"/>
      <c r="J871" s="21" t="n"/>
    </row>
    <row r="872">
      <c r="D872" s="21" t="n"/>
      <c r="E872" s="21" t="n"/>
      <c r="F872" s="21" t="n"/>
      <c r="G872" s="21" t="n"/>
      <c r="H872" s="21" t="n"/>
      <c r="I872" s="21" t="n"/>
      <c r="J872" s="21" t="n"/>
    </row>
    <row r="873">
      <c r="D873" s="21" t="n"/>
      <c r="E873" s="21" t="n"/>
      <c r="F873" s="21" t="n"/>
      <c r="G873" s="21" t="n"/>
      <c r="H873" s="21" t="n"/>
      <c r="I873" s="21" t="n"/>
      <c r="J873" s="21" t="n"/>
    </row>
    <row r="874">
      <c r="D874" s="21" t="n"/>
      <c r="E874" s="21" t="n"/>
      <c r="F874" s="21" t="n"/>
      <c r="G874" s="21" t="n"/>
      <c r="H874" s="21" t="n"/>
      <c r="I874" s="21" t="n"/>
      <c r="J874" s="21" t="n"/>
    </row>
    <row r="875">
      <c r="D875" s="21" t="n"/>
      <c r="E875" s="21" t="n"/>
      <c r="F875" s="21" t="n"/>
      <c r="G875" s="21" t="n"/>
      <c r="H875" s="21" t="n"/>
      <c r="I875" s="21" t="n"/>
      <c r="J875" s="21" t="n"/>
    </row>
    <row r="876">
      <c r="D876" s="21" t="n"/>
      <c r="E876" s="21" t="n"/>
      <c r="F876" s="21" t="n"/>
      <c r="G876" s="21" t="n"/>
      <c r="H876" s="21" t="n"/>
      <c r="I876" s="21" t="n"/>
      <c r="J876" s="21" t="n"/>
    </row>
    <row r="877">
      <c r="D877" s="21" t="n"/>
      <c r="E877" s="21" t="n"/>
      <c r="F877" s="21" t="n"/>
      <c r="G877" s="21" t="n"/>
      <c r="H877" s="21" t="n"/>
      <c r="I877" s="21" t="n"/>
      <c r="J877" s="21" t="n"/>
    </row>
    <row r="878">
      <c r="D878" s="21" t="n"/>
      <c r="E878" s="21" t="n"/>
      <c r="F878" s="21" t="n"/>
      <c r="G878" s="21" t="n"/>
      <c r="H878" s="21" t="n"/>
      <c r="I878" s="21" t="n"/>
      <c r="J878" s="21" t="n"/>
    </row>
    <row r="879">
      <c r="D879" s="21" t="n"/>
      <c r="E879" s="21" t="n"/>
      <c r="F879" s="21" t="n"/>
      <c r="G879" s="21" t="n"/>
      <c r="H879" s="21" t="n"/>
      <c r="I879" s="21" t="n"/>
      <c r="J879" s="21" t="n"/>
    </row>
    <row r="880">
      <c r="D880" s="21" t="n"/>
      <c r="E880" s="21" t="n"/>
      <c r="F880" s="21" t="n"/>
      <c r="G880" s="21" t="n"/>
      <c r="H880" s="21" t="n"/>
      <c r="I880" s="21" t="n"/>
      <c r="J880" s="21" t="n"/>
    </row>
    <row r="881">
      <c r="D881" s="21" t="n"/>
      <c r="E881" s="21" t="n"/>
      <c r="F881" s="21" t="n"/>
      <c r="G881" s="21" t="n"/>
      <c r="H881" s="21" t="n"/>
      <c r="I881" s="21" t="n"/>
      <c r="J881" s="21" t="n"/>
    </row>
    <row r="882">
      <c r="D882" s="21" t="n"/>
      <c r="E882" s="21" t="n"/>
      <c r="F882" s="21" t="n"/>
      <c r="G882" s="21" t="n"/>
      <c r="H882" s="21" t="n"/>
      <c r="I882" s="21" t="n"/>
      <c r="J882" s="21" t="n"/>
    </row>
    <row r="883">
      <c r="D883" s="21" t="n"/>
      <c r="E883" s="21" t="n"/>
      <c r="F883" s="21" t="n"/>
      <c r="G883" s="21" t="n"/>
      <c r="H883" s="21" t="n"/>
      <c r="I883" s="21" t="n"/>
      <c r="J883" s="21" t="n"/>
    </row>
    <row r="884">
      <c r="D884" s="21" t="n"/>
      <c r="E884" s="21" t="n"/>
      <c r="F884" s="21" t="n"/>
      <c r="G884" s="21" t="n"/>
      <c r="H884" s="21" t="n"/>
      <c r="I884" s="21" t="n"/>
      <c r="J884" s="21" t="n"/>
    </row>
    <row r="885">
      <c r="D885" s="21" t="n"/>
      <c r="E885" s="21" t="n"/>
      <c r="F885" s="21" t="n"/>
      <c r="G885" s="21" t="n"/>
      <c r="H885" s="21" t="n"/>
      <c r="I885" s="21" t="n"/>
      <c r="J885" s="21" t="n"/>
    </row>
    <row r="886">
      <c r="D886" s="21" t="n"/>
      <c r="E886" s="21" t="n"/>
      <c r="F886" s="21" t="n"/>
      <c r="G886" s="21" t="n"/>
      <c r="H886" s="21" t="n"/>
      <c r="I886" s="21" t="n"/>
      <c r="J886" s="21" t="n"/>
    </row>
    <row r="887">
      <c r="D887" s="21" t="n"/>
      <c r="E887" s="21" t="n"/>
      <c r="F887" s="21" t="n"/>
      <c r="G887" s="21" t="n"/>
      <c r="H887" s="21" t="n"/>
      <c r="I887" s="21" t="n"/>
      <c r="J887" s="21" t="n"/>
    </row>
    <row r="888">
      <c r="D888" s="21" t="n"/>
      <c r="E888" s="21" t="n"/>
      <c r="F888" s="21" t="n"/>
      <c r="G888" s="21" t="n"/>
      <c r="H888" s="21" t="n"/>
      <c r="I888" s="21" t="n"/>
      <c r="J888" s="21" t="n"/>
    </row>
    <row r="889">
      <c r="D889" s="21" t="n"/>
      <c r="E889" s="21" t="n"/>
      <c r="F889" s="21" t="n"/>
      <c r="G889" s="21" t="n"/>
      <c r="H889" s="21" t="n"/>
      <c r="I889" s="21" t="n"/>
      <c r="J889" s="21" t="n"/>
    </row>
    <row r="890">
      <c r="D890" s="21" t="n"/>
      <c r="E890" s="21" t="n"/>
      <c r="F890" s="21" t="n"/>
      <c r="G890" s="21" t="n"/>
      <c r="H890" s="21" t="n"/>
      <c r="I890" s="21" t="n"/>
      <c r="J890" s="21" t="n"/>
    </row>
    <row r="891">
      <c r="D891" s="21" t="n"/>
      <c r="E891" s="21" t="n"/>
      <c r="F891" s="21" t="n"/>
      <c r="G891" s="21" t="n"/>
      <c r="H891" s="21" t="n"/>
      <c r="I891" s="21" t="n"/>
      <c r="J891" s="21" t="n"/>
    </row>
    <row r="892">
      <c r="D892" s="21" t="n"/>
      <c r="E892" s="21" t="n"/>
      <c r="F892" s="21" t="n"/>
      <c r="G892" s="21" t="n"/>
      <c r="H892" s="21" t="n"/>
      <c r="I892" s="21" t="n"/>
      <c r="J892" s="21" t="n"/>
    </row>
    <row r="893">
      <c r="D893" s="21" t="n"/>
      <c r="E893" s="21" t="n"/>
      <c r="F893" s="21" t="n"/>
      <c r="G893" s="21" t="n"/>
      <c r="H893" s="21" t="n"/>
      <c r="I893" s="21" t="n"/>
      <c r="J893" s="21" t="n"/>
    </row>
    <row r="894">
      <c r="D894" s="21" t="n"/>
      <c r="E894" s="21" t="n"/>
      <c r="F894" s="21" t="n"/>
      <c r="G894" s="21" t="n"/>
      <c r="H894" s="21" t="n"/>
      <c r="I894" s="21" t="n"/>
      <c r="J894" s="21" t="n"/>
    </row>
    <row r="895">
      <c r="D895" s="21" t="n"/>
      <c r="E895" s="21" t="n"/>
      <c r="F895" s="21" t="n"/>
      <c r="G895" s="21" t="n"/>
      <c r="H895" s="21" t="n"/>
      <c r="I895" s="21" t="n"/>
      <c r="J895" s="21" t="n"/>
    </row>
    <row r="896">
      <c r="D896" s="21" t="n"/>
      <c r="E896" s="21" t="n"/>
      <c r="F896" s="21" t="n"/>
      <c r="G896" s="21" t="n"/>
      <c r="H896" s="21" t="n"/>
      <c r="I896" s="21" t="n"/>
      <c r="J896" s="21" t="n"/>
    </row>
    <row r="897">
      <c r="D897" s="21" t="n"/>
      <c r="E897" s="21" t="n"/>
      <c r="F897" s="21" t="n"/>
      <c r="G897" s="21" t="n"/>
      <c r="H897" s="21" t="n"/>
      <c r="I897" s="21" t="n"/>
      <c r="J897" s="21" t="n"/>
    </row>
    <row r="898">
      <c r="D898" s="21" t="n"/>
      <c r="E898" s="21" t="n"/>
      <c r="F898" s="21" t="n"/>
      <c r="G898" s="21" t="n"/>
      <c r="H898" s="21" t="n"/>
      <c r="I898" s="21" t="n"/>
      <c r="J898" s="21" t="n"/>
    </row>
    <row r="899">
      <c r="D899" s="21" t="n"/>
      <c r="E899" s="21" t="n"/>
      <c r="F899" s="21" t="n"/>
      <c r="G899" s="21" t="n"/>
      <c r="H899" s="21" t="n"/>
      <c r="I899" s="21" t="n"/>
      <c r="J899" s="21" t="n"/>
    </row>
    <row r="900">
      <c r="D900" s="21" t="n"/>
      <c r="E900" s="21" t="n"/>
      <c r="F900" s="21" t="n"/>
      <c r="G900" s="21" t="n"/>
      <c r="H900" s="21" t="n"/>
      <c r="I900" s="21" t="n"/>
      <c r="J900" s="21" t="n"/>
    </row>
    <row r="901">
      <c r="D901" s="21" t="n"/>
      <c r="E901" s="21" t="n"/>
      <c r="F901" s="21" t="n"/>
      <c r="G901" s="21" t="n"/>
      <c r="H901" s="21" t="n"/>
      <c r="I901" s="21" t="n"/>
      <c r="J901" s="21" t="n"/>
    </row>
    <row r="902">
      <c r="D902" s="21" t="n"/>
      <c r="E902" s="21" t="n"/>
      <c r="F902" s="21" t="n"/>
      <c r="G902" s="21" t="n"/>
      <c r="H902" s="21" t="n"/>
      <c r="I902" s="21" t="n"/>
      <c r="J902" s="21" t="n"/>
    </row>
    <row r="903">
      <c r="D903" s="21" t="n"/>
      <c r="E903" s="21" t="n"/>
      <c r="F903" s="21" t="n"/>
      <c r="G903" s="21" t="n"/>
      <c r="H903" s="21" t="n"/>
      <c r="I903" s="21" t="n"/>
      <c r="J903" s="21" t="n"/>
    </row>
    <row r="904">
      <c r="D904" s="21" t="n"/>
      <c r="E904" s="21" t="n"/>
      <c r="F904" s="21" t="n"/>
      <c r="G904" s="21" t="n"/>
      <c r="H904" s="21" t="n"/>
      <c r="I904" s="21" t="n"/>
      <c r="J904" s="21" t="n"/>
    </row>
    <row r="905">
      <c r="D905" s="21" t="n"/>
      <c r="E905" s="21" t="n"/>
      <c r="F905" s="21" t="n"/>
      <c r="G905" s="21" t="n"/>
      <c r="H905" s="21" t="n"/>
      <c r="I905" s="21" t="n"/>
      <c r="J905" s="21" t="n"/>
    </row>
    <row r="906">
      <c r="D906" s="21" t="n"/>
      <c r="E906" s="21" t="n"/>
      <c r="F906" s="21" t="n"/>
      <c r="G906" s="21" t="n"/>
      <c r="H906" s="21" t="n"/>
      <c r="I906" s="21" t="n"/>
      <c r="J906" s="21" t="n"/>
    </row>
    <row r="907">
      <c r="D907" s="21" t="n"/>
      <c r="E907" s="21" t="n"/>
      <c r="F907" s="21" t="n"/>
      <c r="G907" s="21" t="n"/>
      <c r="H907" s="21" t="n"/>
      <c r="I907" s="21" t="n"/>
      <c r="J907" s="21" t="n"/>
    </row>
    <row r="908">
      <c r="D908" s="21" t="n"/>
      <c r="E908" s="21" t="n"/>
      <c r="F908" s="21" t="n"/>
      <c r="G908" s="21" t="n"/>
      <c r="H908" s="21" t="n"/>
      <c r="I908" s="21" t="n"/>
      <c r="J908" s="21" t="n"/>
    </row>
    <row r="909">
      <c r="D909" s="21" t="n"/>
      <c r="E909" s="21" t="n"/>
      <c r="F909" s="21" t="n"/>
      <c r="G909" s="21" t="n"/>
      <c r="H909" s="21" t="n"/>
      <c r="I909" s="21" t="n"/>
      <c r="J909" s="21" t="n"/>
    </row>
    <row r="910">
      <c r="D910" s="21" t="n"/>
      <c r="E910" s="21" t="n"/>
      <c r="F910" s="21" t="n"/>
      <c r="G910" s="21" t="n"/>
      <c r="H910" s="21" t="n"/>
      <c r="I910" s="21" t="n"/>
      <c r="J910" s="21" t="n"/>
    </row>
    <row r="911">
      <c r="D911" s="21" t="n"/>
      <c r="E911" s="21" t="n"/>
      <c r="F911" s="21" t="n"/>
      <c r="G911" s="21" t="n"/>
      <c r="H911" s="21" t="n"/>
      <c r="I911" s="21" t="n"/>
      <c r="J911" s="21" t="n"/>
    </row>
    <row r="912">
      <c r="D912" s="21" t="n"/>
      <c r="E912" s="21" t="n"/>
      <c r="F912" s="21" t="n"/>
      <c r="G912" s="21" t="n"/>
      <c r="H912" s="21" t="n"/>
      <c r="I912" s="21" t="n"/>
      <c r="J912" s="21" t="n"/>
    </row>
    <row r="913">
      <c r="D913" s="21" t="n"/>
      <c r="E913" s="21" t="n"/>
      <c r="F913" s="21" t="n"/>
      <c r="G913" s="21" t="n"/>
      <c r="H913" s="21" t="n"/>
      <c r="I913" s="21" t="n"/>
      <c r="J913" s="21" t="n"/>
    </row>
    <row r="914">
      <c r="D914" s="21" t="n"/>
      <c r="E914" s="21" t="n"/>
      <c r="F914" s="21" t="n"/>
      <c r="G914" s="21" t="n"/>
      <c r="H914" s="21" t="n"/>
      <c r="I914" s="21" t="n"/>
      <c r="J914" s="21" t="n"/>
    </row>
    <row r="915">
      <c r="D915" s="21" t="n"/>
      <c r="E915" s="21" t="n"/>
      <c r="F915" s="21" t="n"/>
      <c r="G915" s="21" t="n"/>
      <c r="H915" s="21" t="n"/>
      <c r="I915" s="21" t="n"/>
      <c r="J915" s="21" t="n"/>
    </row>
    <row r="916">
      <c r="D916" s="21" t="n"/>
      <c r="E916" s="21" t="n"/>
      <c r="F916" s="21" t="n"/>
      <c r="G916" s="21" t="n"/>
      <c r="H916" s="21" t="n"/>
      <c r="I916" s="21" t="n"/>
      <c r="J916" s="21" t="n"/>
    </row>
    <row r="917">
      <c r="D917" s="21" t="n"/>
      <c r="E917" s="21" t="n"/>
      <c r="F917" s="21" t="n"/>
      <c r="G917" s="21" t="n"/>
      <c r="H917" s="21" t="n"/>
      <c r="I917" s="21" t="n"/>
      <c r="J917" s="21" t="n"/>
    </row>
    <row r="918">
      <c r="D918" s="21" t="n"/>
      <c r="E918" s="21" t="n"/>
      <c r="F918" s="21" t="n"/>
      <c r="G918" s="21" t="n"/>
      <c r="H918" s="21" t="n"/>
      <c r="I918" s="21" t="n"/>
      <c r="J918" s="21" t="n"/>
    </row>
    <row r="919">
      <c r="D919" s="21" t="n"/>
      <c r="E919" s="21" t="n"/>
      <c r="F919" s="21" t="n"/>
      <c r="G919" s="21" t="n"/>
      <c r="H919" s="21" t="n"/>
      <c r="I919" s="21" t="n"/>
      <c r="J919" s="21" t="n"/>
    </row>
    <row r="920">
      <c r="D920" s="21" t="n"/>
      <c r="E920" s="21" t="n"/>
      <c r="F920" s="21" t="n"/>
      <c r="G920" s="21" t="n"/>
      <c r="H920" s="21" t="n"/>
      <c r="I920" s="21" t="n"/>
      <c r="J920" s="21" t="n"/>
    </row>
    <row r="921">
      <c r="D921" s="21" t="n"/>
      <c r="E921" s="21" t="n"/>
      <c r="F921" s="21" t="n"/>
      <c r="G921" s="21" t="n"/>
      <c r="H921" s="21" t="n"/>
      <c r="I921" s="21" t="n"/>
      <c r="J921" s="21" t="n"/>
    </row>
    <row r="922">
      <c r="D922" s="21" t="n"/>
      <c r="E922" s="21" t="n"/>
      <c r="F922" s="21" t="n"/>
      <c r="G922" s="21" t="n"/>
      <c r="H922" s="21" t="n"/>
      <c r="I922" s="21" t="n"/>
      <c r="J922" s="21" t="n"/>
    </row>
    <row r="923">
      <c r="D923" s="21" t="n"/>
      <c r="E923" s="21" t="n"/>
      <c r="F923" s="21" t="n"/>
      <c r="G923" s="21" t="n"/>
      <c r="H923" s="21" t="n"/>
      <c r="I923" s="21" t="n"/>
      <c r="J923" s="21" t="n"/>
    </row>
    <row r="924">
      <c r="D924" s="21" t="n"/>
      <c r="E924" s="21" t="n"/>
      <c r="F924" s="21" t="n"/>
      <c r="G924" s="21" t="n"/>
      <c r="H924" s="21" t="n"/>
      <c r="I924" s="21" t="n"/>
      <c r="J924" s="21" t="n"/>
    </row>
    <row r="925">
      <c r="D925" s="21" t="n"/>
      <c r="E925" s="21" t="n"/>
      <c r="F925" s="21" t="n"/>
      <c r="G925" s="21" t="n"/>
      <c r="H925" s="21" t="n"/>
      <c r="I925" s="21" t="n"/>
      <c r="J925" s="21" t="n"/>
    </row>
    <row r="926">
      <c r="D926" s="21" t="n"/>
      <c r="E926" s="21" t="n"/>
      <c r="F926" s="21" t="n"/>
      <c r="G926" s="21" t="n"/>
      <c r="H926" s="21" t="n"/>
      <c r="I926" s="21" t="n"/>
      <c r="J926" s="21" t="n"/>
    </row>
    <row r="927">
      <c r="D927" s="21" t="n"/>
      <c r="E927" s="21" t="n"/>
      <c r="F927" s="21" t="n"/>
      <c r="G927" s="21" t="n"/>
      <c r="H927" s="21" t="n"/>
      <c r="I927" s="21" t="n"/>
      <c r="J927" s="21" t="n"/>
    </row>
    <row r="928">
      <c r="D928" s="21" t="n"/>
      <c r="E928" s="21" t="n"/>
      <c r="F928" s="21" t="n"/>
      <c r="G928" s="21" t="n"/>
      <c r="H928" s="21" t="n"/>
      <c r="I928" s="21" t="n"/>
      <c r="J928" s="21" t="n"/>
    </row>
    <row r="929">
      <c r="D929" s="21" t="n"/>
      <c r="E929" s="21" t="n"/>
      <c r="F929" s="21" t="n"/>
      <c r="G929" s="21" t="n"/>
      <c r="H929" s="21" t="n"/>
      <c r="I929" s="21" t="n"/>
      <c r="J929" s="21" t="n"/>
    </row>
    <row r="930">
      <c r="D930" s="21" t="n"/>
      <c r="E930" s="21" t="n"/>
      <c r="F930" s="21" t="n"/>
      <c r="G930" s="21" t="n"/>
      <c r="H930" s="21" t="n"/>
      <c r="I930" s="21" t="n"/>
      <c r="J930" s="21" t="n"/>
    </row>
    <row r="931">
      <c r="D931" s="21" t="n"/>
      <c r="E931" s="21" t="n"/>
      <c r="F931" s="21" t="n"/>
      <c r="G931" s="21" t="n"/>
      <c r="H931" s="21" t="n"/>
      <c r="I931" s="21" t="n"/>
      <c r="J931" s="21" t="n"/>
    </row>
    <row r="932">
      <c r="D932" s="21" t="n"/>
      <c r="E932" s="21" t="n"/>
      <c r="F932" s="21" t="n"/>
      <c r="G932" s="21" t="n"/>
      <c r="H932" s="21" t="n"/>
      <c r="I932" s="21" t="n"/>
      <c r="J932" s="21" t="n"/>
    </row>
    <row r="933">
      <c r="D933" s="21" t="n"/>
      <c r="E933" s="21" t="n"/>
      <c r="F933" s="21" t="n"/>
      <c r="G933" s="21" t="n"/>
      <c r="H933" s="21" t="n"/>
      <c r="I933" s="21" t="n"/>
      <c r="J933" s="21" t="n"/>
    </row>
    <row r="934">
      <c r="D934" s="21" t="n"/>
      <c r="E934" s="21" t="n"/>
      <c r="F934" s="21" t="n"/>
      <c r="G934" s="21" t="n"/>
      <c r="H934" s="21" t="n"/>
      <c r="I934" s="21" t="n"/>
      <c r="J934" s="21" t="n"/>
    </row>
    <row r="935">
      <c r="D935" s="21" t="n"/>
      <c r="E935" s="21" t="n"/>
      <c r="F935" s="21" t="n"/>
      <c r="G935" s="21" t="n"/>
      <c r="H935" s="21" t="n"/>
      <c r="I935" s="21" t="n"/>
      <c r="J935" s="21" t="n"/>
    </row>
    <row r="936">
      <c r="D936" s="21" t="n"/>
      <c r="E936" s="21" t="n"/>
      <c r="F936" s="21" t="n"/>
      <c r="G936" s="21" t="n"/>
      <c r="H936" s="21" t="n"/>
      <c r="I936" s="21" t="n"/>
      <c r="J936" s="21" t="n"/>
    </row>
    <row r="937">
      <c r="D937" s="21" t="n"/>
      <c r="E937" s="21" t="n"/>
      <c r="F937" s="21" t="n"/>
      <c r="G937" s="21" t="n"/>
      <c r="H937" s="21" t="n"/>
      <c r="I937" s="21" t="n"/>
      <c r="J937" s="21" t="n"/>
    </row>
    <row r="938">
      <c r="D938" s="21" t="n"/>
      <c r="E938" s="21" t="n"/>
      <c r="F938" s="21" t="n"/>
      <c r="G938" s="21" t="n"/>
      <c r="H938" s="21" t="n"/>
      <c r="I938" s="21" t="n"/>
      <c r="J938" s="21" t="n"/>
    </row>
    <row r="939">
      <c r="D939" s="21" t="n"/>
      <c r="E939" s="21" t="n"/>
      <c r="F939" s="21" t="n"/>
      <c r="G939" s="21" t="n"/>
      <c r="H939" s="21" t="n"/>
      <c r="I939" s="21" t="n"/>
      <c r="J939" s="21" t="n"/>
    </row>
    <row r="940">
      <c r="D940" s="21" t="n"/>
      <c r="E940" s="21" t="n"/>
      <c r="F940" s="21" t="n"/>
      <c r="G940" s="21" t="n"/>
      <c r="H940" s="21" t="n"/>
      <c r="I940" s="21" t="n"/>
      <c r="J940" s="21" t="n"/>
    </row>
    <row r="941">
      <c r="D941" s="21" t="n"/>
      <c r="E941" s="21" t="n"/>
      <c r="F941" s="21" t="n"/>
      <c r="G941" s="21" t="n"/>
      <c r="H941" s="21" t="n"/>
      <c r="I941" s="21" t="n"/>
      <c r="J941" s="21" t="n"/>
    </row>
    <row r="942">
      <c r="D942" s="21" t="n"/>
      <c r="E942" s="21" t="n"/>
      <c r="F942" s="21" t="n"/>
      <c r="G942" s="21" t="n"/>
      <c r="H942" s="21" t="n"/>
      <c r="I942" s="21" t="n"/>
      <c r="J942" s="21" t="n"/>
    </row>
    <row r="943">
      <c r="D943" s="21" t="n"/>
      <c r="E943" s="21" t="n"/>
      <c r="F943" s="21" t="n"/>
      <c r="G943" s="21" t="n"/>
      <c r="H943" s="21" t="n"/>
      <c r="I943" s="21" t="n"/>
      <c r="J943" s="21" t="n"/>
    </row>
    <row r="944">
      <c r="D944" s="21" t="n"/>
      <c r="E944" s="21" t="n"/>
      <c r="F944" s="21" t="n"/>
      <c r="G944" s="21" t="n"/>
      <c r="H944" s="21" t="n"/>
      <c r="I944" s="21" t="n"/>
      <c r="J944" s="21" t="n"/>
    </row>
    <row r="945">
      <c r="D945" s="21" t="n"/>
      <c r="E945" s="21" t="n"/>
      <c r="F945" s="21" t="n"/>
      <c r="G945" s="21" t="n"/>
      <c r="H945" s="21" t="n"/>
      <c r="I945" s="21" t="n"/>
      <c r="J945" s="21" t="n"/>
    </row>
    <row r="946">
      <c r="D946" s="21" t="n"/>
      <c r="E946" s="21" t="n"/>
      <c r="F946" s="21" t="n"/>
      <c r="G946" s="21" t="n"/>
      <c r="H946" s="21" t="n"/>
      <c r="I946" s="21" t="n"/>
      <c r="J946" s="21" t="n"/>
    </row>
    <row r="947">
      <c r="D947" s="21" t="n"/>
      <c r="E947" s="21" t="n"/>
      <c r="F947" s="21" t="n"/>
      <c r="G947" s="21" t="n"/>
      <c r="H947" s="21" t="n"/>
      <c r="I947" s="21" t="n"/>
      <c r="J947" s="21" t="n"/>
    </row>
    <row r="948">
      <c r="D948" s="21" t="n"/>
      <c r="E948" s="21" t="n"/>
      <c r="F948" s="21" t="n"/>
      <c r="G948" s="21" t="n"/>
      <c r="H948" s="21" t="n"/>
      <c r="I948" s="21" t="n"/>
      <c r="J948" s="21" t="n"/>
    </row>
    <row r="949">
      <c r="D949" s="21" t="n"/>
      <c r="E949" s="21" t="n"/>
      <c r="F949" s="21" t="n"/>
      <c r="G949" s="21" t="n"/>
      <c r="H949" s="21" t="n"/>
      <c r="I949" s="21" t="n"/>
      <c r="J949" s="21" t="n"/>
    </row>
    <row r="950">
      <c r="D950" s="21" t="n"/>
      <c r="E950" s="21" t="n"/>
      <c r="F950" s="21" t="n"/>
      <c r="G950" s="21" t="n"/>
      <c r="H950" s="21" t="n"/>
      <c r="I950" s="21" t="n"/>
      <c r="J950" s="21" t="n"/>
    </row>
    <row r="951">
      <c r="D951" s="21" t="n"/>
      <c r="E951" s="21" t="n"/>
      <c r="F951" s="21" t="n"/>
      <c r="G951" s="21" t="n"/>
      <c r="H951" s="21" t="n"/>
      <c r="I951" s="21" t="n"/>
      <c r="J951" s="21" t="n"/>
    </row>
    <row r="952">
      <c r="D952" s="21" t="n"/>
      <c r="E952" s="21" t="n"/>
      <c r="F952" s="21" t="n"/>
      <c r="G952" s="21" t="n"/>
      <c r="H952" s="21" t="n"/>
      <c r="I952" s="21" t="n"/>
      <c r="J952" s="21" t="n"/>
    </row>
    <row r="953">
      <c r="D953" s="21" t="n"/>
      <c r="E953" s="21" t="n"/>
      <c r="F953" s="21" t="n"/>
      <c r="G953" s="21" t="n"/>
      <c r="H953" s="21" t="n"/>
      <c r="I953" s="21" t="n"/>
      <c r="J953" s="21" t="n"/>
    </row>
    <row r="954">
      <c r="D954" s="21" t="n"/>
      <c r="E954" s="21" t="n"/>
      <c r="F954" s="21" t="n"/>
      <c r="G954" s="21" t="n"/>
      <c r="H954" s="21" t="n"/>
      <c r="I954" s="21" t="n"/>
      <c r="J954" s="21" t="n"/>
    </row>
    <row r="955">
      <c r="D955" s="21" t="n"/>
      <c r="E955" s="21" t="n"/>
      <c r="F955" s="21" t="n"/>
      <c r="G955" s="21" t="n"/>
      <c r="H955" s="21" t="n"/>
      <c r="I955" s="21" t="n"/>
      <c r="J955" s="21" t="n"/>
    </row>
    <row r="956">
      <c r="D956" s="21" t="n"/>
      <c r="E956" s="21" t="n"/>
      <c r="F956" s="21" t="n"/>
      <c r="G956" s="21" t="n"/>
      <c r="H956" s="21" t="n"/>
      <c r="I956" s="21" t="n"/>
      <c r="J956" s="21" t="n"/>
    </row>
    <row r="957">
      <c r="D957" s="21" t="n"/>
      <c r="E957" s="21" t="n"/>
      <c r="F957" s="21" t="n"/>
      <c r="G957" s="21" t="n"/>
      <c r="H957" s="21" t="n"/>
      <c r="I957" s="21" t="n"/>
      <c r="J957" s="21" t="n"/>
    </row>
    <row r="958">
      <c r="D958" s="21" t="n"/>
      <c r="E958" s="21" t="n"/>
      <c r="F958" s="21" t="n"/>
      <c r="G958" s="21" t="n"/>
      <c r="H958" s="21" t="n"/>
      <c r="I958" s="21" t="n"/>
      <c r="J958" s="21" t="n"/>
    </row>
    <row r="959">
      <c r="D959" s="21" t="n"/>
      <c r="E959" s="21" t="n"/>
      <c r="F959" s="21" t="n"/>
      <c r="G959" s="21" t="n"/>
      <c r="H959" s="21" t="n"/>
      <c r="I959" s="21" t="n"/>
      <c r="J959" s="21" t="n"/>
    </row>
    <row r="960">
      <c r="D960" s="21" t="n"/>
      <c r="E960" s="21" t="n"/>
      <c r="F960" s="21" t="n"/>
      <c r="G960" s="21" t="n"/>
      <c r="H960" s="21" t="n"/>
      <c r="I960" s="21" t="n"/>
      <c r="J960" s="21" t="n"/>
    </row>
    <row r="961">
      <c r="D961" s="21" t="n"/>
      <c r="E961" s="21" t="n"/>
      <c r="F961" s="21" t="n"/>
      <c r="G961" s="21" t="n"/>
      <c r="H961" s="21" t="n"/>
      <c r="I961" s="21" t="n"/>
      <c r="J961" s="21" t="n"/>
    </row>
    <row r="962">
      <c r="D962" s="21" t="n"/>
      <c r="E962" s="21" t="n"/>
      <c r="F962" s="21" t="n"/>
      <c r="G962" s="21" t="n"/>
      <c r="H962" s="21" t="n"/>
      <c r="I962" s="21" t="n"/>
      <c r="J962" s="21" t="n"/>
    </row>
    <row r="963">
      <c r="D963" s="21" t="n"/>
      <c r="E963" s="21" t="n"/>
      <c r="F963" s="21" t="n"/>
      <c r="G963" s="21" t="n"/>
      <c r="H963" s="21" t="n"/>
      <c r="I963" s="21" t="n"/>
      <c r="J963" s="21" t="n"/>
    </row>
    <row r="964">
      <c r="D964" s="21" t="n"/>
      <c r="E964" s="21" t="n"/>
      <c r="F964" s="21" t="n"/>
      <c r="G964" s="21" t="n"/>
      <c r="H964" s="21" t="n"/>
      <c r="I964" s="21" t="n"/>
      <c r="J964" s="21" t="n"/>
    </row>
    <row r="965">
      <c r="D965" s="21" t="n"/>
      <c r="E965" s="21" t="n"/>
      <c r="F965" s="21" t="n"/>
      <c r="G965" s="21" t="n"/>
      <c r="H965" s="21" t="n"/>
      <c r="I965" s="21" t="n"/>
      <c r="J965" s="21" t="n"/>
    </row>
    <row r="966">
      <c r="D966" s="21" t="n"/>
      <c r="E966" s="21" t="n"/>
      <c r="F966" s="21" t="n"/>
      <c r="G966" s="21" t="n"/>
      <c r="H966" s="21" t="n"/>
      <c r="I966" s="21" t="n"/>
      <c r="J966" s="21" t="n"/>
    </row>
    <row r="967">
      <c r="D967" s="21" t="n"/>
      <c r="E967" s="21" t="n"/>
      <c r="F967" s="21" t="n"/>
      <c r="G967" s="21" t="n"/>
      <c r="H967" s="21" t="n"/>
      <c r="I967" s="21" t="n"/>
      <c r="J967" s="21" t="n"/>
    </row>
    <row r="968">
      <c r="D968" s="21" t="n"/>
      <c r="E968" s="21" t="n"/>
      <c r="F968" s="21" t="n"/>
      <c r="G968" s="21" t="n"/>
      <c r="H968" s="21" t="n"/>
      <c r="I968" s="21" t="n"/>
      <c r="J968" s="21" t="n"/>
    </row>
    <row r="969">
      <c r="D969" s="21" t="n"/>
      <c r="E969" s="21" t="n"/>
      <c r="F969" s="21" t="n"/>
      <c r="G969" s="21" t="n"/>
      <c r="H969" s="21" t="n"/>
      <c r="I969" s="21" t="n"/>
      <c r="J969" s="21" t="n"/>
    </row>
    <row r="970">
      <c r="D970" s="21" t="n"/>
      <c r="E970" s="21" t="n"/>
      <c r="F970" s="21" t="n"/>
      <c r="G970" s="21" t="n"/>
      <c r="H970" s="21" t="n"/>
      <c r="I970" s="21" t="n"/>
      <c r="J970" s="21" t="n"/>
    </row>
    <row r="971">
      <c r="D971" s="21" t="n"/>
      <c r="E971" s="21" t="n"/>
      <c r="F971" s="21" t="n"/>
      <c r="G971" s="21" t="n"/>
      <c r="H971" s="21" t="n"/>
      <c r="I971" s="21" t="n"/>
      <c r="J971" s="21" t="n"/>
    </row>
    <row r="972">
      <c r="D972" s="21" t="n"/>
      <c r="E972" s="21" t="n"/>
      <c r="F972" s="21" t="n"/>
      <c r="G972" s="21" t="n"/>
      <c r="H972" s="21" t="n"/>
      <c r="I972" s="21" t="n"/>
      <c r="J972" s="21" t="n"/>
    </row>
    <row r="973">
      <c r="D973" s="21" t="n"/>
      <c r="E973" s="21" t="n"/>
      <c r="F973" s="21" t="n"/>
      <c r="G973" s="21" t="n"/>
      <c r="H973" s="21" t="n"/>
      <c r="I973" s="21" t="n"/>
      <c r="J973" s="21" t="n"/>
    </row>
    <row r="974">
      <c r="D974" s="21" t="n"/>
      <c r="E974" s="21" t="n"/>
      <c r="F974" s="21" t="n"/>
      <c r="G974" s="21" t="n"/>
      <c r="H974" s="21" t="n"/>
      <c r="I974" s="21" t="n"/>
      <c r="J974" s="21" t="n"/>
    </row>
    <row r="975">
      <c r="D975" s="21" t="n"/>
      <c r="E975" s="21" t="n"/>
      <c r="F975" s="21" t="n"/>
      <c r="G975" s="21" t="n"/>
      <c r="H975" s="21" t="n"/>
      <c r="I975" s="21" t="n"/>
      <c r="J975" s="21" t="n"/>
    </row>
    <row r="976">
      <c r="D976" s="21" t="n"/>
      <c r="E976" s="21" t="n"/>
      <c r="F976" s="21" t="n"/>
      <c r="G976" s="21" t="n"/>
      <c r="H976" s="21" t="n"/>
      <c r="I976" s="21" t="n"/>
      <c r="J976" s="21" t="n"/>
    </row>
    <row r="977">
      <c r="D977" s="21" t="n"/>
      <c r="E977" s="21" t="n"/>
      <c r="F977" s="21" t="n"/>
      <c r="G977" s="21" t="n"/>
      <c r="H977" s="21" t="n"/>
      <c r="I977" s="21" t="n"/>
      <c r="J977" s="21" t="n"/>
    </row>
    <row r="978">
      <c r="D978" s="21" t="n"/>
      <c r="E978" s="21" t="n"/>
      <c r="F978" s="21" t="n"/>
      <c r="G978" s="21" t="n"/>
      <c r="H978" s="21" t="n"/>
      <c r="I978" s="21" t="n"/>
      <c r="J978" s="21" t="n"/>
    </row>
    <row r="979">
      <c r="D979" s="21" t="n"/>
      <c r="E979" s="21" t="n"/>
      <c r="F979" s="21" t="n"/>
      <c r="G979" s="21" t="n"/>
      <c r="H979" s="21" t="n"/>
      <c r="I979" s="21" t="n"/>
      <c r="J979" s="21" t="n"/>
    </row>
    <row r="980">
      <c r="D980" s="21" t="n"/>
      <c r="E980" s="21" t="n"/>
      <c r="F980" s="21" t="n"/>
      <c r="G980" s="21" t="n"/>
      <c r="H980" s="21" t="n"/>
      <c r="I980" s="21" t="n"/>
      <c r="J980" s="21" t="n"/>
    </row>
    <row r="981">
      <c r="D981" s="21" t="n"/>
      <c r="E981" s="21" t="n"/>
      <c r="F981" s="21" t="n"/>
      <c r="G981" s="21" t="n"/>
      <c r="H981" s="21" t="n"/>
      <c r="I981" s="21" t="n"/>
      <c r="J981" s="21" t="n"/>
    </row>
    <row r="982">
      <c r="D982" s="21" t="n"/>
      <c r="E982" s="21" t="n"/>
      <c r="F982" s="21" t="n"/>
      <c r="G982" s="21" t="n"/>
      <c r="H982" s="21" t="n"/>
      <c r="I982" s="21" t="n"/>
      <c r="J982" s="21" t="n"/>
    </row>
    <row r="983">
      <c r="D983" s="21" t="n"/>
      <c r="E983" s="21" t="n"/>
      <c r="F983" s="21" t="n"/>
      <c r="G983" s="21" t="n"/>
      <c r="H983" s="21" t="n"/>
      <c r="I983" s="21" t="n"/>
      <c r="J983" s="21" t="n"/>
    </row>
    <row r="984">
      <c r="D984" s="21" t="n"/>
      <c r="E984" s="21" t="n"/>
      <c r="F984" s="21" t="n"/>
      <c r="G984" s="21" t="n"/>
      <c r="H984" s="21" t="n"/>
      <c r="I984" s="21" t="n"/>
      <c r="J984" s="21" t="n"/>
    </row>
    <row r="985">
      <c r="D985" s="21" t="n"/>
      <c r="E985" s="21" t="n"/>
      <c r="F985" s="21" t="n"/>
      <c r="G985" s="21" t="n"/>
      <c r="H985" s="21" t="n"/>
      <c r="I985" s="21" t="n"/>
      <c r="J985" s="21" t="n"/>
    </row>
    <row r="986">
      <c r="D986" s="21" t="n"/>
      <c r="E986" s="21" t="n"/>
      <c r="F986" s="21" t="n"/>
      <c r="G986" s="21" t="n"/>
      <c r="H986" s="21" t="n"/>
      <c r="I986" s="21" t="n"/>
      <c r="J986" s="21" t="n"/>
    </row>
    <row r="987">
      <c r="D987" s="21" t="n"/>
      <c r="E987" s="21" t="n"/>
      <c r="F987" s="21" t="n"/>
      <c r="G987" s="21" t="n"/>
      <c r="H987" s="21" t="n"/>
      <c r="I987" s="21" t="n"/>
      <c r="J987" s="21" t="n"/>
    </row>
    <row r="988">
      <c r="D988" s="21" t="n"/>
      <c r="E988" s="21" t="n"/>
      <c r="F988" s="21" t="n"/>
      <c r="G988" s="21" t="n"/>
      <c r="H988" s="21" t="n"/>
      <c r="I988" s="21" t="n"/>
      <c r="J988" s="21" t="n"/>
    </row>
    <row r="989">
      <c r="D989" s="21" t="n"/>
      <c r="E989" s="21" t="n"/>
      <c r="F989" s="21" t="n"/>
      <c r="G989" s="21" t="n"/>
      <c r="H989" s="21" t="n"/>
      <c r="I989" s="21" t="n"/>
      <c r="J989" s="21" t="n"/>
    </row>
    <row r="990">
      <c r="D990" s="21" t="n"/>
      <c r="E990" s="21" t="n"/>
      <c r="F990" s="21" t="n"/>
      <c r="G990" s="21" t="n"/>
      <c r="H990" s="21" t="n"/>
      <c r="I990" s="21" t="n"/>
      <c r="J990" s="21" t="n"/>
    </row>
    <row r="991">
      <c r="D991" s="21" t="n"/>
      <c r="E991" s="21" t="n"/>
      <c r="F991" s="21" t="n"/>
      <c r="G991" s="21" t="n"/>
      <c r="H991" s="21" t="n"/>
      <c r="I991" s="21" t="n"/>
      <c r="J991" s="21" t="n"/>
    </row>
    <row r="992">
      <c r="D992" s="21" t="n"/>
      <c r="E992" s="21" t="n"/>
      <c r="F992" s="21" t="n"/>
      <c r="G992" s="21" t="n"/>
      <c r="H992" s="21" t="n"/>
      <c r="I992" s="21" t="n"/>
      <c r="J992" s="21" t="n"/>
    </row>
    <row r="993">
      <c r="D993" s="21" t="n"/>
      <c r="E993" s="21" t="n"/>
      <c r="F993" s="21" t="n"/>
      <c r="G993" s="21" t="n"/>
      <c r="H993" s="21" t="n"/>
      <c r="I993" s="21" t="n"/>
      <c r="J993" s="21" t="n"/>
    </row>
    <row r="994">
      <c r="D994" s="21" t="n"/>
      <c r="E994" s="21" t="n"/>
      <c r="F994" s="21" t="n"/>
      <c r="G994" s="21" t="n"/>
      <c r="H994" s="21" t="n"/>
      <c r="I994" s="21" t="n"/>
      <c r="J994" s="21" t="n"/>
    </row>
    <row r="995">
      <c r="D995" s="21" t="n"/>
      <c r="E995" s="21" t="n"/>
      <c r="F995" s="21" t="n"/>
      <c r="G995" s="21" t="n"/>
      <c r="H995" s="21" t="n"/>
      <c r="I995" s="21" t="n"/>
      <c r="J995" s="21" t="n"/>
    </row>
    <row r="996">
      <c r="D996" s="21" t="n"/>
      <c r="E996" s="21" t="n"/>
      <c r="F996" s="21" t="n"/>
      <c r="G996" s="21" t="n"/>
      <c r="H996" s="21" t="n"/>
      <c r="I996" s="21" t="n"/>
      <c r="J996" s="21" t="n"/>
    </row>
    <row r="997">
      <c r="D997" s="21" t="n"/>
      <c r="E997" s="21" t="n"/>
      <c r="F997" s="21" t="n"/>
      <c r="G997" s="21" t="n"/>
      <c r="H997" s="21" t="n"/>
      <c r="I997" s="21" t="n"/>
      <c r="J997" s="21" t="n"/>
    </row>
    <row r="998">
      <c r="D998" s="21" t="n"/>
      <c r="E998" s="21" t="n"/>
      <c r="F998" s="21" t="n"/>
      <c r="G998" s="21" t="n"/>
      <c r="H998" s="21" t="n"/>
      <c r="I998" s="21" t="n"/>
      <c r="J998" s="21" t="n"/>
    </row>
    <row r="999">
      <c r="D999" s="21" t="n"/>
      <c r="E999" s="21" t="n"/>
      <c r="F999" s="21" t="n"/>
      <c r="G999" s="21" t="n"/>
      <c r="H999" s="21" t="n"/>
      <c r="I999" s="21" t="n"/>
      <c r="J999" s="21" t="n"/>
    </row>
    <row r="1000">
      <c r="D1000" s="21" t="n"/>
      <c r="E1000" s="21" t="n"/>
      <c r="F1000" s="21" t="n"/>
      <c r="G1000" s="21" t="n"/>
      <c r="H1000" s="21" t="n"/>
      <c r="I1000" s="21" t="n"/>
      <c r="J1000" s="21" t="n"/>
    </row>
  </sheetData>
  <dataValidations count="3">
    <dataValidation sqref="B18" showDropDown="0" showInputMessage="0" showErrorMessage="1" allowBlank="1" type="list">
      <formula1>"Apple,Samsung,HP"</formula1>
    </dataValidation>
    <dataValidation sqref="B17" showDropDown="0" showInputMessage="0" showErrorMessage="1" allowBlank="1" type="list">
      <formula1>"Laptop,Tablet,Mobile"</formula1>
    </dataValidation>
    <dataValidation sqref="B16" showDropDown="0" showInputMessage="0" showErrorMessage="1" allowBlank="1" type="list">
      <formula1>"Delhi,Mumbai,Bangalore"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Jayshree Tawari</dc:creator>
  <dcterms:created xmlns:dcterms="http://purl.org/dc/terms/" xmlns:xsi="http://www.w3.org/2001/XMLSchema-instance" xsi:type="dcterms:W3CDTF">2021-07-31T10:23:29Z</dcterms:created>
  <dcterms:modified xmlns:dcterms="http://purl.org/dc/terms/" xmlns:xsi="http://www.w3.org/2001/XMLSchema-instance" xsi:type="dcterms:W3CDTF">2026-10-07T03:39:59Z</dcterms:modified>
  <cp:lastModifiedBy>USER</cp:lastModifiedBy>
</cp:coreProperties>
</file>